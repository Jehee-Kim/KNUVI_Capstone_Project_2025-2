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E48046D-96F3-40E7-8992-2D03ABCE081D}" xr6:coauthVersionLast="47" xr6:coauthVersionMax="47" xr10:uidLastSave="{00000000-0000-0000-0000-000000000000}"/>
  <bookViews>
    <workbookView xWindow="-972" yWindow="2844" windowWidth="17280" windowHeight="8964" xr2:uid="{00000000-000D-0000-FFFF-FFFF00000000}"/>
  </bookViews>
  <sheets>
    <sheet name="시트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1" l="1"/>
  <c r="G48" i="1"/>
  <c r="G49" i="1"/>
  <c r="G47" i="1"/>
  <c r="G46" i="1"/>
  <c r="G45" i="1"/>
  <c r="G44" i="1"/>
  <c r="G43" i="1"/>
  <c r="G42" i="1"/>
  <c r="G41" i="1"/>
  <c r="M40" i="1"/>
  <c r="M41" i="1"/>
  <c r="M42" i="1"/>
  <c r="M43" i="1"/>
  <c r="M44" i="1"/>
  <c r="M45" i="1"/>
  <c r="M46" i="1"/>
  <c r="M47" i="1"/>
  <c r="M48" i="1"/>
  <c r="M49" i="1"/>
  <c r="Y58" i="1" a="1"/>
  <c r="W57" i="1" a="1"/>
  <c r="W56" i="1" a="1"/>
  <c r="V58" i="1" a="1"/>
  <c r="X58" i="1" a="1"/>
  <c r="V57" i="1" a="1"/>
  <c r="X56" i="1" a="1"/>
  <c r="AA58" i="1" a="1"/>
  <c r="W58" i="1" a="1"/>
  <c r="Z58" i="1" a="1"/>
  <c r="X57" i="1" a="1"/>
  <c r="V56" i="1" a="1"/>
  <c r="AH53" i="1" a="1"/>
  <c r="AF53" i="1" a="1"/>
  <c r="AE52" i="1" a="1"/>
  <c r="X53" i="1" a="1"/>
  <c r="AA39" i="1" a="1"/>
  <c r="AC38" i="1" a="1"/>
  <c r="T46" i="1" a="1"/>
  <c r="R41" i="1" a="1"/>
  <c r="S46" i="1" a="1"/>
  <c r="AC28" i="1" a="1"/>
  <c r="AF50" i="1" a="1"/>
  <c r="W54" i="1" a="1"/>
  <c r="AA44" i="1" a="1"/>
  <c r="T42" i="1" a="1"/>
  <c r="S38" i="1" a="1"/>
  <c r="AD28" i="1" a="1"/>
  <c r="AG52" i="1" a="1"/>
  <c r="X54" i="1" a="1"/>
  <c r="AA38" i="1" a="1"/>
  <c r="T39" i="1" a="1"/>
  <c r="S43" i="1" a="1"/>
  <c r="AA53" i="1" a="1"/>
  <c r="W53" i="1" a="1"/>
  <c r="AB44" i="1" a="1"/>
  <c r="T40" i="1" a="1"/>
  <c r="AD25" i="1" a="1"/>
  <c r="AJ53" i="1" a="1"/>
  <c r="Z54" i="1" a="1"/>
  <c r="AA37" i="1" a="1"/>
  <c r="S39" i="1" a="1"/>
  <c r="R38" i="1" a="1"/>
  <c r="AF52" i="1" a="1"/>
  <c r="X52" i="1" a="1"/>
  <c r="S37" i="1" a="1"/>
  <c r="AD29" i="1" a="1"/>
  <c r="AH52" i="1" a="1"/>
  <c r="V54" i="1" a="1"/>
  <c r="AA40" i="1" a="1"/>
  <c r="S40" i="1" a="1"/>
  <c r="AG51" i="1" a="1"/>
  <c r="AG50" i="1" a="1"/>
  <c r="Y54" i="1" a="1"/>
  <c r="W52" i="1" a="1"/>
  <c r="AC40" i="1" a="1"/>
  <c r="AC37" i="1" a="1"/>
  <c r="S45" i="1" a="1"/>
  <c r="R37" i="1" a="1"/>
  <c r="T43" i="1" a="1"/>
  <c r="AE53" i="1" a="1"/>
  <c r="AB39" i="1" a="1"/>
  <c r="R45" i="1" a="1"/>
  <c r="R46" i="1" a="1"/>
  <c r="AB28" i="1" a="1"/>
  <c r="V53" i="1" a="1"/>
  <c r="AC39" i="1" a="1"/>
  <c r="S41" i="1" a="1"/>
  <c r="R42" i="1" a="1"/>
  <c r="AA54" i="1" a="1"/>
  <c r="AB38" i="1" a="1"/>
  <c r="AB37" i="1" a="1"/>
  <c r="R40" i="1" a="1"/>
  <c r="T41" i="1" a="1"/>
  <c r="AB29" i="1" a="1"/>
  <c r="AE50" i="1" a="1"/>
  <c r="V52" i="1" a="1"/>
  <c r="AC43" i="1" a="1"/>
  <c r="T37" i="1" a="1"/>
  <c r="AC44" i="1" a="1"/>
  <c r="R43" i="1" a="1"/>
  <c r="T45" i="1" a="1"/>
  <c r="AG53" i="1" a="1"/>
  <c r="Z53" i="1" a="1"/>
  <c r="AB43" i="1" a="1"/>
  <c r="R39" i="1" a="1"/>
  <c r="AC25" i="1" a="1"/>
  <c r="AJ52" i="1" a="1"/>
  <c r="AB25" i="1" a="1"/>
  <c r="AF51" i="1" a="1"/>
  <c r="AI52" i="1" a="1"/>
  <c r="AA43" i="1" a="1"/>
  <c r="T38" i="1" a="1"/>
  <c r="AI53" i="1" a="1"/>
  <c r="Y53" i="1" a="1"/>
  <c r="AE51" i="1" a="1"/>
  <c r="AB40" i="1" a="1"/>
  <c r="S42" i="1" a="1"/>
  <c r="AC29" i="1" a="1"/>
  <c r="U26" i="1" a="1"/>
  <c r="S29" i="1" a="1"/>
  <c r="AE10" i="1" a="1"/>
  <c r="AD21" i="1" a="1"/>
  <c r="AD13" i="1" a="1"/>
  <c r="AD5" i="1" a="1"/>
  <c r="AC16" i="1" a="1"/>
  <c r="AC8" i="1" a="1"/>
  <c r="S27" i="1" a="1"/>
  <c r="AE16" i="1" a="1"/>
  <c r="AD3" i="1" a="1"/>
  <c r="AC6" i="1" a="1"/>
  <c r="T30" i="1" a="1"/>
  <c r="U25" i="1" a="1"/>
  <c r="AE7" i="1" a="1"/>
  <c r="AC21" i="1" a="1"/>
  <c r="AC5" i="1" a="1"/>
  <c r="S25" i="1" a="1"/>
  <c r="AE6" i="1" a="1"/>
  <c r="AD9" i="1" a="1"/>
  <c r="AC12" i="1" a="1"/>
  <c r="T26" i="1" a="1"/>
  <c r="AE13" i="1" a="1"/>
  <c r="AD16" i="1" a="1"/>
  <c r="AE20" i="1" a="1"/>
  <c r="AE4" i="1" a="1"/>
  <c r="AD7" i="1" a="1"/>
  <c r="AC10" i="1" a="1"/>
  <c r="S26" i="1" a="1"/>
  <c r="T27" i="1" a="1"/>
  <c r="U29" i="1" a="1"/>
  <c r="AE17" i="1" a="1"/>
  <c r="AE9" i="1" a="1"/>
  <c r="AD20" i="1" a="1"/>
  <c r="AD12" i="1" a="1"/>
  <c r="AD4" i="1" a="1"/>
  <c r="AC15" i="1" a="1"/>
  <c r="AC7" i="1" a="1"/>
  <c r="T25" i="1" a="1"/>
  <c r="AE8" i="1" a="1"/>
  <c r="AC14" i="1" a="1"/>
  <c r="T29" i="1" a="1"/>
  <c r="AE15" i="1" a="1"/>
  <c r="AD10" i="1" a="1"/>
  <c r="AC13" i="1" a="1"/>
  <c r="U27" i="1" a="1"/>
  <c r="AE14" i="1" a="1"/>
  <c r="AD17" i="1" a="1"/>
  <c r="AC20" i="1" a="1"/>
  <c r="AC4" i="1" a="1"/>
  <c r="S30" i="1" a="1"/>
  <c r="AE21" i="1" a="1"/>
  <c r="AE5" i="1" a="1"/>
  <c r="AD8" i="1" a="1"/>
  <c r="AE12" i="1" a="1"/>
  <c r="AD15" i="1" a="1"/>
  <c r="U30" i="1" a="1"/>
  <c r="AE3" i="1" a="1"/>
  <c r="AD14" i="1" a="1"/>
  <c r="AD6" i="1" a="1"/>
  <c r="AC17" i="1" a="1"/>
  <c r="AC9" i="1" a="1"/>
  <c r="AC3" i="1" a="1"/>
  <c r="AJ51" i="1" a="1"/>
  <c r="AD27" i="1" a="1"/>
  <c r="AE19" i="1" a="1"/>
  <c r="AA57" i="1" a="1"/>
  <c r="AC42" i="1" a="1"/>
  <c r="Z57" i="1" a="1"/>
  <c r="AD19" i="1" a="1"/>
  <c r="AB42" i="1" a="1"/>
  <c r="AI51" i="1" a="1"/>
  <c r="AC27" i="1" a="1"/>
  <c r="AB27" i="1" a="1"/>
  <c r="AH51" i="1" a="1"/>
  <c r="Y57" i="1" a="1"/>
  <c r="AC19" i="1" a="1"/>
  <c r="AA42" i="1" a="1"/>
  <c r="AA56" i="1" a="1"/>
  <c r="Y56" i="1" a="1"/>
  <c r="AB26" i="1" a="1"/>
  <c r="AH50" i="1" a="1"/>
  <c r="AE18" i="1" a="1"/>
  <c r="AA41" i="1" a="1"/>
  <c r="AC26" i="1" a="1"/>
  <c r="AC18" i="1" a="1"/>
  <c r="Z56" i="1" a="1"/>
  <c r="AC41" i="1" a="1"/>
  <c r="AJ50" i="1" a="1"/>
  <c r="AB41" i="1" a="1"/>
  <c r="AD18" i="1" a="1"/>
  <c r="AD26" i="1" a="1"/>
  <c r="AI50" i="1" a="1"/>
  <c r="AC11" i="1" a="1"/>
  <c r="U28" i="1" a="1"/>
  <c r="T44" i="1" a="1"/>
  <c r="Y52" i="1" a="1"/>
  <c r="Z52" i="1" a="1"/>
  <c r="AA52" i="1" a="1"/>
  <c r="S44" i="1" a="1"/>
  <c r="AD11" i="1" a="1"/>
  <c r="S28" i="1" a="1"/>
  <c r="R44" i="1" a="1"/>
  <c r="T28" i="1" a="1"/>
  <c r="AE11" i="1" a="1"/>
  <c r="V56" i="1" l="1"/>
  <c r="X57" i="1"/>
  <c r="Z58" i="1"/>
  <c r="AA56" i="1"/>
  <c r="W58" i="1"/>
  <c r="AA58" i="1"/>
  <c r="X56" i="1"/>
  <c r="V57" i="1"/>
  <c r="Z57" i="1"/>
  <c r="X58" i="1"/>
  <c r="Z56" i="1"/>
  <c r="V58" i="1"/>
  <c r="W56" i="1"/>
  <c r="Y57" i="1"/>
  <c r="Y56" i="1"/>
  <c r="W57" i="1"/>
  <c r="AA57" i="1"/>
  <c r="Y58" i="1"/>
  <c r="AC9" i="1"/>
  <c r="AC17" i="1"/>
  <c r="AD6" i="1"/>
  <c r="AE11" i="1"/>
  <c r="AD14" i="1"/>
  <c r="AE3" i="1"/>
  <c r="AE19" i="1"/>
  <c r="U30" i="1"/>
  <c r="X30" i="1" s="1"/>
  <c r="AC18" i="1"/>
  <c r="AD15" i="1"/>
  <c r="AE12" i="1"/>
  <c r="U28" i="1"/>
  <c r="X28" i="1" s="1"/>
  <c r="AC11" i="1"/>
  <c r="AD8" i="1"/>
  <c r="AE5" i="1"/>
  <c r="AE21" i="1"/>
  <c r="S30" i="1"/>
  <c r="AC4" i="1"/>
  <c r="AC20" i="1"/>
  <c r="AD17" i="1"/>
  <c r="AE14" i="1"/>
  <c r="U27" i="1"/>
  <c r="X27" i="1" s="1"/>
  <c r="AC13" i="1"/>
  <c r="AD10" i="1"/>
  <c r="AD18" i="1"/>
  <c r="AE15" i="1"/>
  <c r="T29" i="1"/>
  <c r="AC14" i="1"/>
  <c r="AD19" i="1"/>
  <c r="AE8" i="1"/>
  <c r="T25" i="1"/>
  <c r="W26" i="1" s="1"/>
  <c r="AC7" i="1"/>
  <c r="AC15" i="1"/>
  <c r="AD4" i="1"/>
  <c r="AD12" i="1"/>
  <c r="AD20" i="1"/>
  <c r="AE9" i="1"/>
  <c r="AE17" i="1"/>
  <c r="U29" i="1"/>
  <c r="X29" i="1" s="1"/>
  <c r="T27" i="1"/>
  <c r="S26" i="1"/>
  <c r="AC10" i="1"/>
  <c r="AD7" i="1"/>
  <c r="AE4" i="1"/>
  <c r="AE20" i="1"/>
  <c r="T28" i="1"/>
  <c r="AC19" i="1"/>
  <c r="AD16" i="1"/>
  <c r="AE13" i="1"/>
  <c r="T26" i="1"/>
  <c r="AC12" i="1"/>
  <c r="AD9" i="1"/>
  <c r="AE6" i="1"/>
  <c r="S25" i="1"/>
  <c r="V26" i="1" s="1"/>
  <c r="S28" i="1"/>
  <c r="V28" i="1" s="1"/>
  <c r="AC5" i="1"/>
  <c r="AC21" i="1"/>
  <c r="AE7" i="1"/>
  <c r="U25" i="1"/>
  <c r="T30" i="1"/>
  <c r="AC6" i="1"/>
  <c r="AD3" i="1"/>
  <c r="AD11" i="1"/>
  <c r="AE16" i="1"/>
  <c r="S27" i="1"/>
  <c r="AC8" i="1"/>
  <c r="AC16" i="1"/>
  <c r="AD5" i="1"/>
  <c r="AD13" i="1"/>
  <c r="AD21" i="1"/>
  <c r="AE10" i="1"/>
  <c r="AE18" i="1"/>
  <c r="S29" i="1"/>
  <c r="U26" i="1"/>
  <c r="AC29" i="1"/>
  <c r="S42" i="1"/>
  <c r="AB40" i="1"/>
  <c r="AF44" i="1" s="1"/>
  <c r="AE51" i="1"/>
  <c r="S44" i="1"/>
  <c r="AC42" i="1"/>
  <c r="Y53" i="1"/>
  <c r="AI53" i="1"/>
  <c r="AC27" i="1"/>
  <c r="T38" i="1"/>
  <c r="AA43" i="1"/>
  <c r="AI52" i="1"/>
  <c r="AF51" i="1"/>
  <c r="AB25" i="1"/>
  <c r="AJ52" i="1"/>
  <c r="AC25" i="1"/>
  <c r="R39" i="1"/>
  <c r="AB43" i="1"/>
  <c r="Z53" i="1"/>
  <c r="AG53" i="1"/>
  <c r="T45" i="1"/>
  <c r="R43" i="1"/>
  <c r="AC44" i="1"/>
  <c r="AG44" i="1" s="1"/>
  <c r="AH51" i="1"/>
  <c r="T37" i="1"/>
  <c r="AC43" i="1"/>
  <c r="AG43" i="1" s="1"/>
  <c r="V52" i="1"/>
  <c r="Z52" i="1"/>
  <c r="AE50" i="1"/>
  <c r="AB29" i="1"/>
  <c r="T41" i="1"/>
  <c r="R40" i="1"/>
  <c r="AB37" i="1"/>
  <c r="AB38" i="1"/>
  <c r="AF42" i="1" s="1"/>
  <c r="AA54" i="1"/>
  <c r="AH50" i="1"/>
  <c r="AB26" i="1"/>
  <c r="R42" i="1"/>
  <c r="S41" i="1"/>
  <c r="W46" i="1" s="1"/>
  <c r="AB41" i="1"/>
  <c r="AC39" i="1"/>
  <c r="V53" i="1"/>
  <c r="AI51" i="1"/>
  <c r="AB28" i="1"/>
  <c r="R46" i="1"/>
  <c r="R45" i="1"/>
  <c r="AB39" i="1"/>
  <c r="AF43" i="1" s="1"/>
  <c r="AA52" i="1"/>
  <c r="AE53" i="1"/>
  <c r="AC26" i="1"/>
  <c r="AB27" i="1"/>
  <c r="T43" i="1"/>
  <c r="R37" i="1"/>
  <c r="V42" i="1" s="1"/>
  <c r="R44" i="1"/>
  <c r="S45" i="1"/>
  <c r="AC37" i="1"/>
  <c r="AC40" i="1"/>
  <c r="AB42" i="1"/>
  <c r="W52" i="1"/>
  <c r="Y54" i="1"/>
  <c r="AG50" i="1"/>
  <c r="AG51" i="1"/>
  <c r="AJ50" i="1"/>
  <c r="S40" i="1"/>
  <c r="AA40" i="1"/>
  <c r="V54" i="1"/>
  <c r="AH52" i="1"/>
  <c r="AD29" i="1"/>
  <c r="AG29" i="1" s="1"/>
  <c r="S37" i="1"/>
  <c r="W42" i="1" s="1"/>
  <c r="AC41" i="1"/>
  <c r="AG41" i="1" s="1"/>
  <c r="X52" i="1"/>
  <c r="AF52" i="1"/>
  <c r="R38" i="1"/>
  <c r="V43" i="1" s="1"/>
  <c r="S39" i="1"/>
  <c r="AA37" i="1"/>
  <c r="AE41" i="1" s="1"/>
  <c r="Z54" i="1"/>
  <c r="AJ53" i="1"/>
  <c r="AD25" i="1"/>
  <c r="T40" i="1"/>
  <c r="T44" i="1"/>
  <c r="X44" i="1" s="1"/>
  <c r="AB44" i="1"/>
  <c r="W53" i="1"/>
  <c r="AA53" i="1"/>
  <c r="AI50" i="1"/>
  <c r="AD26" i="1"/>
  <c r="AG26" i="1" s="1"/>
  <c r="S43" i="1"/>
  <c r="T39" i="1"/>
  <c r="AA38" i="1"/>
  <c r="X54" i="1"/>
  <c r="AG52" i="1"/>
  <c r="AJ51" i="1"/>
  <c r="AD28" i="1"/>
  <c r="AG28" i="1" s="1"/>
  <c r="S38" i="1"/>
  <c r="W43" i="1" s="1"/>
  <c r="T42" i="1"/>
  <c r="AA44" i="1"/>
  <c r="AA41" i="1"/>
  <c r="W54" i="1"/>
  <c r="AF50" i="1"/>
  <c r="AD27" i="1"/>
  <c r="AG27" i="1" s="1"/>
  <c r="AC28" i="1"/>
  <c r="S46" i="1"/>
  <c r="R41" i="1"/>
  <c r="T46" i="1"/>
  <c r="AC38" i="1"/>
  <c r="AA39" i="1"/>
  <c r="AA42" i="1"/>
  <c r="X53" i="1"/>
  <c r="Y52" i="1"/>
  <c r="AE52" i="1"/>
  <c r="AF53" i="1"/>
  <c r="AH53" i="1"/>
  <c r="W29" i="1"/>
  <c r="W30" i="1"/>
  <c r="V29" i="1"/>
  <c r="AC3" i="1"/>
  <c r="V27" i="1" l="1"/>
  <c r="V30" i="1"/>
  <c r="W44" i="1"/>
  <c r="X43" i="1"/>
  <c r="AF29" i="1"/>
  <c r="AF27" i="1"/>
  <c r="AF28" i="1"/>
  <c r="AF26" i="1"/>
  <c r="AE43" i="1"/>
  <c r="W28" i="1"/>
  <c r="X46" i="1"/>
  <c r="AE42" i="1"/>
  <c r="AF41" i="1"/>
  <c r="V45" i="1"/>
  <c r="V44" i="1"/>
  <c r="W27" i="1"/>
  <c r="V46" i="1"/>
  <c r="X42" i="1"/>
  <c r="AE44" i="1"/>
  <c r="AE29" i="1"/>
  <c r="AE27" i="1"/>
  <c r="AE26" i="1"/>
  <c r="AE28" i="1"/>
  <c r="X26" i="1"/>
  <c r="W45" i="1"/>
  <c r="X45" i="1"/>
  <c r="AG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<sst xmlns="http://schemas.openxmlformats.org/spreadsheetml/2006/main" count="298" uniqueCount="91">
  <si>
    <t>1.bicycle</t>
  </si>
  <si>
    <t>2.bonsai</t>
  </si>
  <si>
    <t>3.counter</t>
  </si>
  <si>
    <t>4.flowers</t>
  </si>
  <si>
    <t>5.garden</t>
  </si>
  <si>
    <t>6.kitchen</t>
  </si>
  <si>
    <t>7.room</t>
  </si>
  <si>
    <t>8.stump</t>
  </si>
  <si>
    <t>9.treehill</t>
  </si>
  <si>
    <t>Outputs</t>
  </si>
  <si>
    <t>PSNR↑</t>
  </si>
  <si>
    <t>SSIM↑</t>
  </si>
  <si>
    <t>LPIPS↓</t>
  </si>
  <si>
    <t>Rendered Raw</t>
  </si>
  <si>
    <t>JPEG 90</t>
  </si>
  <si>
    <t>JPEG 70</t>
  </si>
  <si>
    <t>JPEG 50</t>
  </si>
  <si>
    <t>JPEG 30</t>
  </si>
  <si>
    <t>JPEG 10</t>
  </si>
  <si>
    <t>Rendered JPEG 90</t>
  </si>
  <si>
    <t>Rendered JPEG 70</t>
  </si>
  <si>
    <t>Rendered JPEG 50</t>
  </si>
  <si>
    <t>Rendered JPEG 30</t>
  </si>
  <si>
    <t>Rendered JPEG 10</t>
  </si>
  <si>
    <t>HEVC 27</t>
  </si>
  <si>
    <t>HEVC 32</t>
  </si>
  <si>
    <t>HEVC 37</t>
  </si>
  <si>
    <t>-</t>
  </si>
  <si>
    <t>HEVC 42</t>
  </si>
  <si>
    <t>Rendered HEVC 27</t>
  </si>
  <si>
    <t>Rendered HEVC 32</t>
  </si>
  <si>
    <t>Rendered HEVC 37</t>
  </si>
  <si>
    <t>x</t>
  </si>
  <si>
    <t>Rendered HEVC 42</t>
  </si>
  <si>
    <t>bicycle</t>
    <phoneticPr fontId="6" type="noConversion"/>
  </si>
  <si>
    <t>bonsai</t>
    <phoneticPr fontId="6" type="noConversion"/>
  </si>
  <si>
    <t>counter</t>
    <phoneticPr fontId="6" type="noConversion"/>
  </si>
  <si>
    <t>flowers</t>
    <phoneticPr fontId="6" type="noConversion"/>
  </si>
  <si>
    <t>garden</t>
    <phoneticPr fontId="6" type="noConversion"/>
  </si>
  <si>
    <t>kithchen</t>
    <phoneticPr fontId="6" type="noConversion"/>
  </si>
  <si>
    <t>room</t>
    <phoneticPr fontId="6" type="noConversion"/>
  </si>
  <si>
    <t>stump</t>
    <phoneticPr fontId="6" type="noConversion"/>
  </si>
  <si>
    <t>treehill</t>
    <phoneticPr fontId="6" type="noConversion"/>
  </si>
  <si>
    <t>JPEG SSIM</t>
    <phoneticPr fontId="6" type="noConversion"/>
  </si>
  <si>
    <t>Rendered JPEG SSIM</t>
    <phoneticPr fontId="6" type="noConversion"/>
  </si>
  <si>
    <t>QP</t>
    <phoneticPr fontId="6" type="noConversion"/>
  </si>
  <si>
    <t>PSNR</t>
    <phoneticPr fontId="6" type="noConversion"/>
  </si>
  <si>
    <t>SSIM</t>
    <phoneticPr fontId="6" type="noConversion"/>
  </si>
  <si>
    <t>LPIPS</t>
    <phoneticPr fontId="6" type="noConversion"/>
  </si>
  <si>
    <t>-</t>
    <phoneticPr fontId="6" type="noConversion"/>
  </si>
  <si>
    <t>Rendered HEVC 42</t>
    <phoneticPr fontId="6" type="noConversion"/>
  </si>
  <si>
    <t>PSNR Drop (%)</t>
    <phoneticPr fontId="6" type="noConversion"/>
  </si>
  <si>
    <t>SSIM Drop(%)</t>
    <phoneticPr fontId="6" type="noConversion"/>
  </si>
  <si>
    <t>LPIPS Increase(%)</t>
    <phoneticPr fontId="6" type="noConversion"/>
  </si>
  <si>
    <t>ΔPSNR (↓)</t>
  </si>
  <si>
    <t>ΔLPIPS (↑)</t>
  </si>
  <si>
    <r>
      <rPr>
        <b/>
        <sz val="11"/>
        <color rgb="FF000000"/>
        <rFont val="Calibri"/>
        <family val="3"/>
        <charset val="161"/>
      </rPr>
      <t>Δ</t>
    </r>
    <r>
      <rPr>
        <b/>
        <sz val="11"/>
        <color rgb="FF000000"/>
        <rFont val="맑은 고딕"/>
        <family val="3"/>
        <charset val="129"/>
      </rPr>
      <t>SSIM (↓)</t>
    </r>
    <phoneticPr fontId="6" type="noConversion"/>
  </si>
  <si>
    <t>QF</t>
    <phoneticPr fontId="6" type="noConversion"/>
  </si>
  <si>
    <t>category</t>
    <phoneticPr fontId="6" type="noConversion"/>
  </si>
  <si>
    <t>JPEG PSNR</t>
    <phoneticPr fontId="6" type="noConversion"/>
  </si>
  <si>
    <t>JPEG LPIPS</t>
    <phoneticPr fontId="6" type="noConversion"/>
  </si>
  <si>
    <t>RenderedPSNR</t>
    <phoneticPr fontId="6" type="noConversion"/>
  </si>
  <si>
    <t>Rendered SSIM</t>
    <phoneticPr fontId="6" type="noConversion"/>
  </si>
  <si>
    <t>Rendered LPIPS</t>
    <phoneticPr fontId="6" type="noConversion"/>
  </si>
  <si>
    <t>HEVC PSNR</t>
    <phoneticPr fontId="6" type="noConversion"/>
  </si>
  <si>
    <t>HEVC SSIM</t>
    <phoneticPr fontId="6" type="noConversion"/>
  </si>
  <si>
    <t>HEVC LPIPS</t>
    <phoneticPr fontId="6" type="noConversion"/>
  </si>
  <si>
    <t>LPIPS Increase (%)</t>
    <phoneticPr fontId="6" type="noConversion"/>
  </si>
  <si>
    <t>SSIM Drop (%)</t>
    <phoneticPr fontId="6" type="noConversion"/>
  </si>
  <si>
    <t>QF/QP</t>
    <phoneticPr fontId="6" type="noConversion"/>
  </si>
  <si>
    <t>50/27</t>
    <phoneticPr fontId="6" type="noConversion"/>
  </si>
  <si>
    <t>30/32</t>
    <phoneticPr fontId="6" type="noConversion"/>
  </si>
  <si>
    <t>10/37</t>
    <phoneticPr fontId="6" type="noConversion"/>
  </si>
  <si>
    <t>JPEG Rendered PSNR</t>
  </si>
  <si>
    <t>HEVC Rendered PSNR</t>
  </si>
  <si>
    <t>코덱</t>
  </si>
  <si>
    <t>Input PSNR (X)</t>
  </si>
  <si>
    <t>Rendered PSNR (Y)</t>
  </si>
  <si>
    <t>JPEG</t>
  </si>
  <si>
    <t>HEVC</t>
  </si>
  <si>
    <t>Raw</t>
    <phoneticPr fontId="6" type="noConversion"/>
  </si>
  <si>
    <t>JPEG 90</t>
    <phoneticPr fontId="6" type="noConversion"/>
  </si>
  <si>
    <t>JPEG 70</t>
    <phoneticPr fontId="6" type="noConversion"/>
  </si>
  <si>
    <t>JPEG 50</t>
    <phoneticPr fontId="6" type="noConversion"/>
  </si>
  <si>
    <t>JPEG 30</t>
    <phoneticPr fontId="6" type="noConversion"/>
  </si>
  <si>
    <t>JPEG 10</t>
    <phoneticPr fontId="6" type="noConversion"/>
  </si>
  <si>
    <t>HEVC 27</t>
    <phoneticPr fontId="6" type="noConversion"/>
  </si>
  <si>
    <t>HEVC 32</t>
    <phoneticPr fontId="6" type="noConversion"/>
  </si>
  <si>
    <t>HEVC 37</t>
    <phoneticPr fontId="6" type="noConversion"/>
  </si>
  <si>
    <t>HEVC 42</t>
    <phoneticPr fontId="6" type="noConversion"/>
  </si>
  <si>
    <t>Outputs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</si>
</sst>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00_ "/>
    <numFmt numFmtId="178" formatCode="0.0000_ "/>
    <numFmt numFmtId="179" formatCode="0_ "/>
    <numFmt numFmtId="180" formatCode="0.000_);[Red]\(0.000\)"/>
  </numFmts>
  <fonts count="16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name val="Arial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8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Calibri"/>
      <family val="3"/>
      <charset val="161"/>
    </font>
    <font>
      <b/>
      <sz val="11"/>
      <color rgb="FF000000"/>
      <name val="맑은 고딕"/>
      <family val="3"/>
      <charset val="161"/>
    </font>
    <font>
      <b/>
      <sz val="10"/>
      <color theme="1"/>
      <name val="맑은 고딕"/>
      <family val="2"/>
      <charset val="129"/>
    </font>
    <font>
      <b/>
      <sz val="10"/>
      <color rgb="FF000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/>
      <right style="thick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center" vertical="center"/>
    </xf>
    <xf numFmtId="176" fontId="4" fillId="0" borderId="12" xfId="0" applyNumberFormat="1" applyFont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13" xfId="0" applyNumberFormat="1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1" fillId="0" borderId="1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6" fontId="1" fillId="0" borderId="15" xfId="0" applyNumberFormat="1" applyFont="1" applyBorder="1" applyAlignment="1">
      <alignment horizontal="center" vertical="center"/>
    </xf>
    <xf numFmtId="176" fontId="3" fillId="0" borderId="17" xfId="0" applyNumberFormat="1" applyFont="1" applyBorder="1" applyAlignment="1">
      <alignment horizontal="center" vertical="center"/>
    </xf>
    <xf numFmtId="176" fontId="4" fillId="0" borderId="16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4" fillId="0" borderId="17" xfId="0" applyNumberFormat="1" applyFont="1" applyBorder="1" applyAlignment="1">
      <alignment horizontal="center" vertical="center"/>
    </xf>
    <xf numFmtId="176" fontId="1" fillId="0" borderId="16" xfId="0" applyNumberFormat="1" applyFont="1" applyBorder="1" applyAlignment="1">
      <alignment horizontal="center" vertical="center"/>
    </xf>
    <xf numFmtId="176" fontId="3" fillId="2" borderId="0" xfId="0" applyNumberFormat="1" applyFont="1" applyFill="1" applyAlignment="1">
      <alignment horizontal="center" vertical="center"/>
    </xf>
    <xf numFmtId="176" fontId="3" fillId="3" borderId="12" xfId="0" applyNumberFormat="1" applyFont="1" applyFill="1" applyBorder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176" fontId="1" fillId="0" borderId="9" xfId="0" applyNumberFormat="1" applyFont="1" applyBorder="1" applyAlignment="1">
      <alignment horizontal="center" vertical="center"/>
    </xf>
    <xf numFmtId="176" fontId="4" fillId="0" borderId="10" xfId="0" applyNumberFormat="1" applyFont="1" applyBorder="1" applyAlignment="1">
      <alignment horizontal="center" vertical="center"/>
    </xf>
    <xf numFmtId="176" fontId="5" fillId="0" borderId="9" xfId="0" applyNumberFormat="1" applyFont="1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176" fontId="1" fillId="0" borderId="1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/>
    <xf numFmtId="176" fontId="8" fillId="0" borderId="0" xfId="0" applyNumberFormat="1" applyFont="1" applyAlignment="1">
      <alignment horizontal="center" vertical="center"/>
    </xf>
    <xf numFmtId="176" fontId="0" fillId="0" borderId="0" xfId="0" applyNumberFormat="1"/>
    <xf numFmtId="176" fontId="9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20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178" fontId="0" fillId="0" borderId="0" xfId="0" applyNumberFormat="1"/>
    <xf numFmtId="0" fontId="7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177" fontId="0" fillId="0" borderId="0" xfId="0" applyNumberForma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79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7" fillId="4" borderId="18" xfId="0" applyFont="1" applyFill="1" applyBorder="1" applyAlignment="1">
      <alignment horizontal="center" vertical="center" wrapText="1"/>
    </xf>
    <xf numFmtId="0" fontId="7" fillId="4" borderId="19" xfId="0" applyFont="1" applyFill="1" applyBorder="1" applyAlignment="1">
      <alignment horizontal="center" vertical="center" wrapText="1"/>
    </xf>
    <xf numFmtId="0" fontId="7" fillId="4" borderId="20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0" fontId="7" fillId="4" borderId="21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0" borderId="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SSIM</a:t>
            </a:r>
            <a:r>
              <a:rPr lang="en-US" altLang="ko-KR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시트1!$B$50</c:f>
              <c:strCache>
                <c:ptCount val="1"/>
                <c:pt idx="0">
                  <c:v>JPEG SSIM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시트1!$A$51:$A$55</c:f>
              <c:numCache>
                <c:formatCode>General</c:formatCode>
                <c:ptCount val="5"/>
                <c:pt idx="0">
                  <c:v>90</c:v>
                </c:pt>
                <c:pt idx="1">
                  <c:v>70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시트1!$B$51:$B$55</c:f>
              <c:numCache>
                <c:formatCode>0.000</c:formatCode>
                <c:ptCount val="5"/>
                <c:pt idx="0">
                  <c:v>0.95499999999999996</c:v>
                </c:pt>
                <c:pt idx="1">
                  <c:v>0.90300000000000002</c:v>
                </c:pt>
                <c:pt idx="2">
                  <c:v>0.86799999999999999</c:v>
                </c:pt>
                <c:pt idx="3">
                  <c:v>0.82399999999999995</c:v>
                </c:pt>
                <c:pt idx="4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B-4BE2-84BE-60F2AF96E2B6}"/>
            </c:ext>
          </c:extLst>
        </c:ser>
        <c:ser>
          <c:idx val="1"/>
          <c:order val="1"/>
          <c:tx>
            <c:strRef>
              <c:f>시트1!$C$50</c:f>
              <c:strCache>
                <c:ptCount val="1"/>
                <c:pt idx="0">
                  <c:v>Rendered JPEG SSIM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시트1!$A$51:$A$55</c:f>
              <c:numCache>
                <c:formatCode>General</c:formatCode>
                <c:ptCount val="5"/>
                <c:pt idx="0">
                  <c:v>90</c:v>
                </c:pt>
                <c:pt idx="1">
                  <c:v>70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시트1!$C$51:$C$55</c:f>
              <c:numCache>
                <c:formatCode>General</c:formatCode>
                <c:ptCount val="5"/>
                <c:pt idx="0">
                  <c:v>0.92</c:v>
                </c:pt>
                <c:pt idx="1">
                  <c:v>0.89400000000000002</c:v>
                </c:pt>
                <c:pt idx="2">
                  <c:v>0.875</c:v>
                </c:pt>
                <c:pt idx="3">
                  <c:v>0.84199999999999997</c:v>
                </c:pt>
                <c:pt idx="4">
                  <c:v>0.70199999999999996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BB-4BE2-84BE-60F2AF96E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575088"/>
        <c:axId val="2052142064"/>
      </c:scatterChart>
      <c:valAx>
        <c:axId val="203857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2142064"/>
        <c:crosses val="autoZero"/>
        <c:crossBetween val="midCat"/>
      </c:valAx>
      <c:valAx>
        <c:axId val="2052142064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857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야외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시트1!$I$50</c:f>
              <c:strCache>
                <c:ptCount val="1"/>
                <c:pt idx="0">
                  <c:v>JPEG SSIM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시트1!$H$51:$H$55</c:f>
              <c:numCache>
                <c:formatCode>General</c:formatCode>
                <c:ptCount val="5"/>
                <c:pt idx="0">
                  <c:v>90</c:v>
                </c:pt>
                <c:pt idx="1">
                  <c:v>70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시트1!$I$51:$I$55</c:f>
              <c:numCache>
                <c:formatCode>0.000</c:formatCode>
                <c:ptCount val="5"/>
                <c:pt idx="0">
                  <c:v>0.96199999999999997</c:v>
                </c:pt>
                <c:pt idx="1">
                  <c:v>0.90400000000000003</c:v>
                </c:pt>
                <c:pt idx="2">
                  <c:v>0.86699999999999999</c:v>
                </c:pt>
                <c:pt idx="3">
                  <c:v>0.81799999999999995</c:v>
                </c:pt>
                <c:pt idx="4">
                  <c:v>0.67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91-4E36-8573-EBCF0DDAD6B1}"/>
            </c:ext>
          </c:extLst>
        </c:ser>
        <c:ser>
          <c:idx val="1"/>
          <c:order val="1"/>
          <c:tx>
            <c:strRef>
              <c:f>시트1!$J$50</c:f>
              <c:strCache>
                <c:ptCount val="1"/>
                <c:pt idx="0">
                  <c:v>Rendered JPEG SSIM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시트1!$H$51:$H$55</c:f>
              <c:numCache>
                <c:formatCode>General</c:formatCode>
                <c:ptCount val="5"/>
                <c:pt idx="0">
                  <c:v>90</c:v>
                </c:pt>
                <c:pt idx="1">
                  <c:v>70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시트1!$J$51:$J$55</c:f>
              <c:numCache>
                <c:formatCode>General</c:formatCode>
                <c:ptCount val="5"/>
                <c:pt idx="0">
                  <c:v>0.78400000000000003</c:v>
                </c:pt>
                <c:pt idx="1">
                  <c:v>0.75900000000000001</c:v>
                </c:pt>
                <c:pt idx="2">
                  <c:v>0.71799999999999997</c:v>
                </c:pt>
                <c:pt idx="3">
                  <c:v>0.69799999999999995</c:v>
                </c:pt>
                <c:pt idx="4">
                  <c:v>0.54200000000000004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91-4E36-8573-EBCF0DDAD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443744"/>
        <c:axId val="1362441344"/>
      </c:scatterChart>
      <c:valAx>
        <c:axId val="136244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2441344"/>
        <c:crosses val="autoZero"/>
        <c:crossBetween val="midCat"/>
      </c:valAx>
      <c:valAx>
        <c:axId val="136244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244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시트1!$W$67</c:f>
              <c:strCache>
                <c:ptCount val="1"/>
                <c:pt idx="0">
                  <c:v>Rendered PSNR (Y)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4E3-42AB-9962-1E60C43D144B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4E3-42AB-9962-1E60C43D144B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4E3-42AB-9962-1E60C43D144B}"/>
              </c:ext>
            </c:extLst>
          </c:dPt>
          <c:dLbls>
            <c:dLbl>
              <c:idx val="0"/>
              <c:layout>
                <c:manualLayout>
                  <c:x val="0"/>
                  <c:y val="-3.6147571545965408E-2"/>
                </c:manualLayout>
              </c:layout>
              <c:tx>
                <c:rich>
                  <a:bodyPr/>
                  <a:lstStyle/>
                  <a:p>
                    <a:r>
                      <a:rPr lang="en-US" altLang="ko-KR">
                        <a:latin typeface="함초롬바탕" panose="02030604000101010101" pitchFamily="18" charset="-127"/>
                        <a:ea typeface="함초롬바탕" panose="02030604000101010101" pitchFamily="18" charset="-127"/>
                        <a:cs typeface="함초롬바탕" panose="02030604000101010101" pitchFamily="18" charset="-127"/>
                      </a:rPr>
                      <a:t>JPEG50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4E3-42AB-9962-1E60C43D1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>
                        <a:latin typeface="함초롬바탕" panose="02030604000101010101" pitchFamily="18" charset="-127"/>
                        <a:ea typeface="함초롬바탕" panose="02030604000101010101" pitchFamily="18" charset="-127"/>
                        <a:cs typeface="함초롬바탕" panose="02030604000101010101" pitchFamily="18" charset="-127"/>
                      </a:rPr>
                      <a:t>JPEG30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4E3-42AB-9962-1E60C43D1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altLang="ko-KR">
                        <a:latin typeface="함초롬바탕" panose="02030604000101010101" pitchFamily="18" charset="-127"/>
                        <a:ea typeface="함초롬바탕" panose="02030604000101010101" pitchFamily="18" charset="-127"/>
                        <a:cs typeface="함초롬바탕" panose="02030604000101010101" pitchFamily="18" charset="-127"/>
                      </a:rPr>
                      <a:t>JPEG10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4E3-42AB-9962-1E60C43D144B}"/>
                </c:ext>
              </c:extLst>
            </c:dLbl>
            <c:dLbl>
              <c:idx val="3"/>
              <c:layout>
                <c:manualLayout>
                  <c:x val="0"/>
                  <c:y val="7.8826205389229631E-2"/>
                </c:manualLayout>
              </c:layout>
              <c:tx>
                <c:rich>
                  <a:bodyPr/>
                  <a:lstStyle/>
                  <a:p>
                    <a:r>
                      <a:rPr lang="en-US" altLang="ko-KR">
                        <a:latin typeface="함초롬바탕" panose="02030604000101010101" pitchFamily="18" charset="-127"/>
                        <a:ea typeface="함초롬바탕" panose="02030604000101010101" pitchFamily="18" charset="-127"/>
                        <a:cs typeface="함초롬바탕" panose="02030604000101010101" pitchFamily="18" charset="-127"/>
                      </a:rPr>
                      <a:t>HEVC27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4E3-42AB-9962-1E60C43D1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ko-KR">
                        <a:latin typeface="함초롬바탕" panose="02030604000101010101" pitchFamily="18" charset="-127"/>
                        <a:ea typeface="함초롬바탕" panose="02030604000101010101" pitchFamily="18" charset="-127"/>
                        <a:cs typeface="함초롬바탕" panose="02030604000101010101" pitchFamily="18" charset="-127"/>
                      </a:rPr>
                      <a:t>HEVC32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4E3-42AB-9962-1E60C43D1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altLang="ko-KR">
                        <a:latin typeface="함초롬바탕" panose="02030604000101010101" pitchFamily="18" charset="-127"/>
                        <a:ea typeface="함초롬바탕" panose="02030604000101010101" pitchFamily="18" charset="-127"/>
                        <a:cs typeface="함초롬바탕" panose="02030604000101010101" pitchFamily="18" charset="-127"/>
                      </a:rPr>
                      <a:t>HEVC</a:t>
                    </a:r>
                    <a:r>
                      <a:rPr lang="en-US" altLang="ko-KR" baseline="0">
                        <a:latin typeface="함초롬바탕" panose="02030604000101010101" pitchFamily="18" charset="-127"/>
                        <a:ea typeface="함초롬바탕" panose="02030604000101010101" pitchFamily="18" charset="-127"/>
                        <a:cs typeface="함초롬바탕" panose="02030604000101010101" pitchFamily="18" charset="-127"/>
                      </a:rPr>
                      <a:t>37</a:t>
                    </a:r>
                    <a:endParaRPr lang="en-US" altLang="ko-KR">
                      <a:latin typeface="함초롬바탕" panose="02030604000101010101" pitchFamily="18" charset="-127"/>
                      <a:ea typeface="함초롬바탕" panose="02030604000101010101" pitchFamily="18" charset="-127"/>
                      <a:cs typeface="함초롬바탕" panose="02030604000101010101" pitchFamily="18" charset="-127"/>
                    </a:endParaRP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4E3-42AB-9962-1E60C43D14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시트1!$V$68:$V$73</c:f>
              <c:numCache>
                <c:formatCode>General</c:formatCode>
                <c:ptCount val="6"/>
                <c:pt idx="0">
                  <c:v>29.678999999999998</c:v>
                </c:pt>
                <c:pt idx="1">
                  <c:v>28.07</c:v>
                </c:pt>
                <c:pt idx="2">
                  <c:v>24.462</c:v>
                </c:pt>
                <c:pt idx="3">
                  <c:v>30.780999999999999</c:v>
                </c:pt>
                <c:pt idx="4">
                  <c:v>28.335000000000001</c:v>
                </c:pt>
                <c:pt idx="5">
                  <c:v>25.731000000000002</c:v>
                </c:pt>
              </c:numCache>
            </c:numRef>
          </c:xVal>
          <c:yVal>
            <c:numRef>
              <c:f>시트1!$W$68:$W$73</c:f>
              <c:numCache>
                <c:formatCode>General</c:formatCode>
                <c:ptCount val="6"/>
                <c:pt idx="0">
                  <c:v>25.623999999999999</c:v>
                </c:pt>
                <c:pt idx="1">
                  <c:v>25.366</c:v>
                </c:pt>
                <c:pt idx="2">
                  <c:v>22.611000000000001</c:v>
                </c:pt>
                <c:pt idx="3">
                  <c:v>25.527000000000001</c:v>
                </c:pt>
                <c:pt idx="4">
                  <c:v>23.782</c:v>
                </c:pt>
                <c:pt idx="5">
                  <c:v>21.542000000000002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3-42AB-9962-1E60C43D1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895568"/>
        <c:axId val="1375912368"/>
      </c:scatterChart>
      <c:valAx>
        <c:axId val="1375895568"/>
        <c:scaling>
          <c:orientation val="minMax"/>
          <c:max val="31"/>
          <c:min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함초롬바탕" panose="02030604000101010101" pitchFamily="18" charset="-127"/>
                    <a:ea typeface="함초롬바탕" panose="02030604000101010101" pitchFamily="18" charset="-127"/>
                    <a:cs typeface="함초롬바탕" panose="02030604000101010101" pitchFamily="18" charset="-127"/>
                  </a:rPr>
                  <a:t>3DGS Input PSNR </a:t>
                </a:r>
                <a:endParaRPr lang="ko-KR" altLang="en-US">
                  <a:latin typeface="함초롬바탕" panose="02030604000101010101" pitchFamily="18" charset="-127"/>
                  <a:ea typeface="함초롬바탕" panose="02030604000101010101" pitchFamily="18" charset="-127"/>
                  <a:cs typeface="함초롬바탕" panose="02030604000101010101" pitchFamily="18" charset="-127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함초롬바탕" panose="02030604000101010101" pitchFamily="18" charset="-127"/>
                <a:ea typeface="함초롬바탕" panose="02030604000101010101" pitchFamily="18" charset="-127"/>
                <a:cs typeface="함초롬바탕" panose="02030604000101010101" pitchFamily="18" charset="-127"/>
              </a:defRPr>
            </a:pPr>
            <a:endParaRPr lang="ko-KR"/>
          </a:p>
        </c:txPr>
        <c:crossAx val="1375912368"/>
        <c:crosses val="autoZero"/>
        <c:crossBetween val="midCat"/>
      </c:valAx>
      <c:valAx>
        <c:axId val="137591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함초롬바탕" panose="02030604000101010101" pitchFamily="18" charset="-127"/>
                    <a:ea typeface="함초롬바탕" panose="02030604000101010101" pitchFamily="18" charset="-127"/>
                    <a:cs typeface="함초롬바탕" panose="02030604000101010101" pitchFamily="18" charset="-127"/>
                  </a:rPr>
                  <a:t>Rendered PSNR </a:t>
                </a:r>
                <a:endParaRPr lang="ko-KR" altLang="en-US">
                  <a:latin typeface="함초롬바탕" panose="02030604000101010101" pitchFamily="18" charset="-127"/>
                  <a:ea typeface="함초롬바탕" panose="02030604000101010101" pitchFamily="18" charset="-127"/>
                  <a:cs typeface="함초롬바탕" panose="02030604000101010101" pitchFamily="18" charset="-127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함초롬바탕" panose="02030604000101010101" pitchFamily="18" charset="-127"/>
                <a:ea typeface="함초롬바탕" panose="02030604000101010101" pitchFamily="18" charset="-127"/>
                <a:cs typeface="함초롬바탕" panose="02030604000101010101" pitchFamily="18" charset="-127"/>
              </a:defRPr>
            </a:pPr>
            <a:endParaRPr lang="ko-KR"/>
          </a:p>
        </c:txPr>
        <c:crossAx val="137589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130442</xdr:colOff>
      <xdr:row>55</xdr:row>
      <xdr:rowOff>197000</xdr:rowOff>
    </xdr:from>
    <xdr:to>
      <xdr:col>6</xdr:col>
      <xdr:colOff>412831</xdr:colOff>
      <xdr:row>69</xdr:row>
      <xdr:rowOff>166520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631C7EC-3879-A479-B18C-9FDEB0252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51486</xdr:colOff>
      <xdr:row>56</xdr:row>
      <xdr:rowOff>54576</xdr:rowOff>
    </xdr:from>
    <xdr:to>
      <xdr:col>14</xdr:col>
      <xdr:colOff>370702</xdr:colOff>
      <xdr:row>70</xdr:row>
      <xdr:rowOff>58695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D434C5D6-439B-445A-73EB-DAD65E0A8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82379</xdr:colOff>
      <xdr:row>73</xdr:row>
      <xdr:rowOff>167844</xdr:rowOff>
    </xdr:from>
    <xdr:to>
      <xdr:col>24</xdr:col>
      <xdr:colOff>185058</xdr:colOff>
      <xdr:row>86</xdr:row>
      <xdr:rowOff>46652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3E7C1D09-DE9E-E649-546F-4673422FDF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  <pageSetUpPr fitToPage="1"/>
  </sheetPr>
  <dimension ref="A1:AM73"/>
  <sheetViews>
    <sheetView tabSelected="1" zoomScale="152" zoomScaleNormal="80" workbookViewId="0">
      <pane xSplit="1" ySplit="2" topLeftCell="S73" activePane="bottomRight" state="frozen"/>
      <selection pane="topRight" activeCell="B1" sqref="B1"/>
      <selection pane="bottomLeft" activeCell="A3" sqref="A3"/>
      <selection pane="bottomRight" activeCell="T86" sqref="T86"/>
    </sheetView>
  </sheetViews>
  <sheetFormatPr defaultColWidth="12.6640625" defaultRowHeight="15.75" customHeight="1" x14ac:dyDescent="0.25"/>
  <cols>
    <col min="1" max="1" width="18" customWidth="1"/>
    <col min="2" max="17" width="8.88671875" customWidth="1"/>
    <col min="18" max="18" width="19" customWidth="1"/>
    <col min="19" max="21" width="8.88671875" customWidth="1"/>
    <col min="22" max="22" width="15.6640625" customWidth="1"/>
    <col min="23" max="23" width="13.77734375" customWidth="1"/>
    <col min="24" max="24" width="17" customWidth="1"/>
    <col min="25" max="25" width="16.21875" customWidth="1"/>
    <col min="26" max="26" width="15.5546875" customWidth="1"/>
    <col min="27" max="27" width="17.5546875" customWidth="1"/>
    <col min="28" max="28" width="8.88671875" customWidth="1"/>
    <col min="29" max="29" width="10.44140625" customWidth="1"/>
    <col min="30" max="30" width="10.77734375" customWidth="1"/>
    <col min="31" max="32" width="14.77734375" customWidth="1"/>
    <col min="33" max="33" width="18.5546875" customWidth="1"/>
    <col min="34" max="34" width="16.77734375" customWidth="1"/>
    <col min="35" max="36" width="16.6640625" customWidth="1"/>
  </cols>
  <sheetData>
    <row r="1" spans="1:39" ht="13.2" x14ac:dyDescent="0.25">
      <c r="A1" s="1"/>
      <c r="B1" s="79" t="s">
        <v>0</v>
      </c>
      <c r="C1" s="77"/>
      <c r="D1" s="78"/>
      <c r="E1" s="76" t="s">
        <v>1</v>
      </c>
      <c r="F1" s="77"/>
      <c r="G1" s="78"/>
      <c r="H1" s="76" t="s">
        <v>2</v>
      </c>
      <c r="I1" s="77"/>
      <c r="J1" s="78"/>
      <c r="K1" s="76" t="s">
        <v>3</v>
      </c>
      <c r="L1" s="77"/>
      <c r="M1" s="78"/>
      <c r="N1" s="76" t="s">
        <v>4</v>
      </c>
      <c r="O1" s="77"/>
      <c r="P1" s="78"/>
      <c r="Q1" s="76" t="s">
        <v>5</v>
      </c>
      <c r="R1" s="77"/>
      <c r="S1" s="78"/>
      <c r="T1" s="76" t="s">
        <v>6</v>
      </c>
      <c r="U1" s="77"/>
      <c r="V1" s="78"/>
      <c r="W1" s="76" t="s">
        <v>7</v>
      </c>
      <c r="X1" s="77"/>
      <c r="Y1" s="78"/>
      <c r="Z1" s="76" t="s">
        <v>8</v>
      </c>
      <c r="AA1" s="77"/>
      <c r="AB1" s="78"/>
      <c r="AC1" s="2"/>
      <c r="AD1" s="2"/>
      <c r="AE1" s="2"/>
      <c r="AF1" s="2"/>
    </row>
    <row r="2" spans="1:39" ht="13.8" thickBot="1" x14ac:dyDescent="0.3">
      <c r="A2" s="3" t="s">
        <v>9</v>
      </c>
      <c r="B2" s="4" t="s">
        <v>10</v>
      </c>
      <c r="C2" s="4" t="s">
        <v>11</v>
      </c>
      <c r="D2" s="5" t="s">
        <v>12</v>
      </c>
      <c r="E2" s="4" t="s">
        <v>10</v>
      </c>
      <c r="F2" s="4" t="s">
        <v>11</v>
      </c>
      <c r="G2" s="5" t="s">
        <v>12</v>
      </c>
      <c r="H2" s="4" t="s">
        <v>10</v>
      </c>
      <c r="I2" s="4" t="s">
        <v>11</v>
      </c>
      <c r="J2" s="5" t="s">
        <v>12</v>
      </c>
      <c r="K2" s="4" t="s">
        <v>10</v>
      </c>
      <c r="L2" s="4" t="s">
        <v>11</v>
      </c>
      <c r="M2" s="5" t="s">
        <v>12</v>
      </c>
      <c r="N2" s="4" t="s">
        <v>10</v>
      </c>
      <c r="O2" s="4" t="s">
        <v>11</v>
      </c>
      <c r="P2" s="5" t="s">
        <v>12</v>
      </c>
      <c r="Q2" s="4" t="s">
        <v>10</v>
      </c>
      <c r="R2" s="4" t="s">
        <v>11</v>
      </c>
      <c r="S2" s="5" t="s">
        <v>12</v>
      </c>
      <c r="T2" s="4" t="s">
        <v>10</v>
      </c>
      <c r="U2" s="4" t="s">
        <v>11</v>
      </c>
      <c r="V2" s="5" t="s">
        <v>12</v>
      </c>
      <c r="W2" s="4" t="s">
        <v>10</v>
      </c>
      <c r="X2" s="4" t="s">
        <v>11</v>
      </c>
      <c r="Y2" s="5" t="s">
        <v>12</v>
      </c>
      <c r="Z2" s="4" t="s">
        <v>10</v>
      </c>
      <c r="AA2" s="4" t="s">
        <v>11</v>
      </c>
      <c r="AB2" s="5" t="s">
        <v>12</v>
      </c>
      <c r="AC2" s="43" t="s">
        <v>46</v>
      </c>
      <c r="AD2" s="43" t="s">
        <v>47</v>
      </c>
      <c r="AE2" s="43" t="s">
        <v>48</v>
      </c>
      <c r="AF2" s="2"/>
    </row>
    <row r="3" spans="1:39" ht="14.4" thickTop="1" thickBot="1" x14ac:dyDescent="0.3">
      <c r="A3" s="6" t="s">
        <v>13</v>
      </c>
      <c r="B3" s="7">
        <v>23.109000000000002</v>
      </c>
      <c r="C3" s="7">
        <v>0.76700000000000002</v>
      </c>
      <c r="D3" s="7">
        <v>0.129</v>
      </c>
      <c r="E3" s="8">
        <v>31.725000000000001</v>
      </c>
      <c r="F3" s="7">
        <v>0.94799999999999995</v>
      </c>
      <c r="G3" s="9">
        <v>2.9000000000000001E-2</v>
      </c>
      <c r="H3" s="8">
        <v>28.766999999999999</v>
      </c>
      <c r="I3" s="7">
        <v>0.90900000000000003</v>
      </c>
      <c r="J3" s="9">
        <v>5.6000000000000001E-2</v>
      </c>
      <c r="K3" s="8">
        <v>22.033999999999999</v>
      </c>
      <c r="L3" s="7">
        <v>0.72899999999999998</v>
      </c>
      <c r="M3" s="9">
        <v>0.19400000000000001</v>
      </c>
      <c r="N3" s="8">
        <v>29.1</v>
      </c>
      <c r="O3" s="7">
        <v>0.91800000000000004</v>
      </c>
      <c r="P3" s="9">
        <v>3.7999999999999999E-2</v>
      </c>
      <c r="Q3" s="8">
        <v>31.419</v>
      </c>
      <c r="R3" s="7">
        <v>0.94699999999999995</v>
      </c>
      <c r="S3" s="9">
        <v>1.9E-2</v>
      </c>
      <c r="T3" s="8">
        <v>31.047999999999998</v>
      </c>
      <c r="U3" s="7">
        <v>0.93700000000000006</v>
      </c>
      <c r="V3" s="9">
        <v>3.7999999999999999E-2</v>
      </c>
      <c r="W3" s="8">
        <v>27.091000000000001</v>
      </c>
      <c r="X3" s="7">
        <v>0.81399999999999995</v>
      </c>
      <c r="Y3" s="9">
        <v>0.105</v>
      </c>
      <c r="Z3" s="8">
        <v>22.280999999999999</v>
      </c>
      <c r="AA3" s="7">
        <v>0.75800000000000001</v>
      </c>
      <c r="AB3" s="9">
        <v>0.158</v>
      </c>
      <c r="AC3" s="10" cm="1">
        <f t="array" ref="AC3">AverageSkip($B$3:$Z$3, 3)</f>
        <v>27.397111111111112</v>
      </c>
      <c r="AD3" s="10" cm="1">
        <f t="array" ref="AD3">AverageSkip($C$3:$AA$3, 3)</f>
        <v>0.85855555555555563</v>
      </c>
      <c r="AE3" s="10" cm="1">
        <f t="array" ref="AE3">AverageSkip($D$3:$AB$3, 3)</f>
        <v>8.511111111111111E-2</v>
      </c>
      <c r="AF3" s="10"/>
    </row>
    <row r="4" spans="1:39" ht="13.2" x14ac:dyDescent="0.25">
      <c r="A4" s="11" t="s">
        <v>14</v>
      </c>
      <c r="B4" s="10">
        <v>36.286000000000001</v>
      </c>
      <c r="C4" s="10">
        <v>0.96699999999999997</v>
      </c>
      <c r="D4" s="10">
        <v>1.2999999999999999E-2</v>
      </c>
      <c r="E4" s="12">
        <v>37.32</v>
      </c>
      <c r="F4" s="10">
        <v>0.96399999999999997</v>
      </c>
      <c r="G4" s="13">
        <v>8.0000000000000002E-3</v>
      </c>
      <c r="H4" s="14">
        <v>36.115000000000002</v>
      </c>
      <c r="I4" s="15">
        <v>0.95299999999999996</v>
      </c>
      <c r="J4" s="16">
        <v>8.0000000000000002E-3</v>
      </c>
      <c r="K4" s="12">
        <v>33.973999999999997</v>
      </c>
      <c r="L4" s="10">
        <v>0.96899999999999997</v>
      </c>
      <c r="M4" s="13">
        <v>8.9999999999999993E-3</v>
      </c>
      <c r="N4" s="12">
        <v>34.421999999999997</v>
      </c>
      <c r="O4" s="10">
        <v>0.95099999999999996</v>
      </c>
      <c r="P4" s="13">
        <v>1.2999999999999999E-2</v>
      </c>
      <c r="Q4" s="12">
        <v>34.984000000000002</v>
      </c>
      <c r="R4" s="10">
        <v>0.95099999999999996</v>
      </c>
      <c r="S4" s="13">
        <v>8.9999999999999993E-3</v>
      </c>
      <c r="T4" s="12">
        <v>37.914000000000001</v>
      </c>
      <c r="U4" s="10">
        <v>0.95799999999999996</v>
      </c>
      <c r="V4" s="13">
        <v>7.0000000000000001E-3</v>
      </c>
      <c r="W4" s="12">
        <v>35.389000000000003</v>
      </c>
      <c r="X4" s="10">
        <v>0.96199999999999997</v>
      </c>
      <c r="Y4" s="13">
        <v>2.1000000000000001E-2</v>
      </c>
      <c r="Z4" s="12">
        <v>36.106999999999999</v>
      </c>
      <c r="AA4" s="10">
        <v>0.96299999999999997</v>
      </c>
      <c r="AB4" s="13">
        <v>1.7000000000000001E-2</v>
      </c>
      <c r="AC4" s="10" cm="1">
        <f t="array" ref="AC4">AverageSkip($B$4:$Z$4, 3)</f>
        <v>35.834555555555553</v>
      </c>
      <c r="AD4" s="10" cm="1">
        <f t="array" ref="AD4">AverageSkip($C$4:$AA$4, 3)</f>
        <v>0.95977777777777762</v>
      </c>
      <c r="AE4" s="10" cm="1">
        <f t="array" ref="AE4">AverageSkip($D$4:$AB$4, 3)</f>
        <v>1.1666666666666667E-2</v>
      </c>
      <c r="AF4" s="10"/>
    </row>
    <row r="5" spans="1:39" ht="13.2" x14ac:dyDescent="0.25">
      <c r="A5" s="11" t="s">
        <v>15</v>
      </c>
      <c r="B5" s="10">
        <v>30.995000000000001</v>
      </c>
      <c r="C5" s="10">
        <v>0.90900000000000003</v>
      </c>
      <c r="D5" s="10">
        <v>0.05</v>
      </c>
      <c r="E5" s="12">
        <v>32.904000000000003</v>
      </c>
      <c r="F5" s="10">
        <v>0.92100000000000004</v>
      </c>
      <c r="G5" s="13">
        <v>3.3000000000000002E-2</v>
      </c>
      <c r="H5" s="14">
        <v>32.040999999999997</v>
      </c>
      <c r="I5" s="15">
        <v>0.90500000000000003</v>
      </c>
      <c r="J5" s="16">
        <v>3.2000000000000001E-2</v>
      </c>
      <c r="K5" s="12">
        <v>28.736999999999998</v>
      </c>
      <c r="L5" s="10">
        <v>0.91400000000000003</v>
      </c>
      <c r="M5" s="13">
        <v>3.6999999999999998E-2</v>
      </c>
      <c r="N5" s="12">
        <v>30.196999999999999</v>
      </c>
      <c r="O5" s="10">
        <v>0.88300000000000001</v>
      </c>
      <c r="P5" s="13">
        <v>0.05</v>
      </c>
      <c r="Q5" s="12">
        <v>30.44</v>
      </c>
      <c r="R5" s="39">
        <v>0.88400000000000001</v>
      </c>
      <c r="S5" s="13">
        <v>0.04</v>
      </c>
      <c r="T5" s="12">
        <v>34.091999999999999</v>
      </c>
      <c r="U5" s="10">
        <v>0.92200000000000004</v>
      </c>
      <c r="V5" s="13">
        <v>3.2000000000000001E-2</v>
      </c>
      <c r="W5" s="12">
        <v>31.129000000000001</v>
      </c>
      <c r="X5" s="10">
        <v>0.91</v>
      </c>
      <c r="Y5" s="13">
        <v>7.5999999999999998E-2</v>
      </c>
      <c r="Z5" s="12">
        <v>31.052</v>
      </c>
      <c r="AA5" s="10">
        <v>0.90300000000000002</v>
      </c>
      <c r="AB5" s="13">
        <v>6.5000000000000002E-2</v>
      </c>
      <c r="AC5" s="10" cm="1">
        <f t="array" ref="AC5">AverageSkip($B$5:$Z$5, 3)</f>
        <v>31.287444444444443</v>
      </c>
      <c r="AD5" s="10" cm="1">
        <f t="array" ref="AD5">AverageSkip($C$5:$AA$5, 3)</f>
        <v>0.90566666666666662</v>
      </c>
      <c r="AE5" s="10" cm="1">
        <f t="array" ref="AE5">AverageSkip($D$5:$AB$5, 3)</f>
        <v>4.6111111111111117E-2</v>
      </c>
      <c r="AF5" s="10"/>
    </row>
    <row r="6" spans="1:39" ht="13.2" x14ac:dyDescent="0.25">
      <c r="A6" s="11" t="s">
        <v>16</v>
      </c>
      <c r="B6" s="10">
        <v>29.059000000000001</v>
      </c>
      <c r="C6" s="10">
        <v>0.871</v>
      </c>
      <c r="D6" s="10">
        <v>9.5000000000000001E-2</v>
      </c>
      <c r="E6" s="12">
        <v>31.202000000000002</v>
      </c>
      <c r="F6" s="17">
        <v>0.88900000000000001</v>
      </c>
      <c r="G6" s="13">
        <v>6.3E-2</v>
      </c>
      <c r="H6" s="14">
        <v>30.491</v>
      </c>
      <c r="I6" s="15">
        <v>0.875</v>
      </c>
      <c r="J6" s="16">
        <v>5.8999999999999997E-2</v>
      </c>
      <c r="K6" s="12">
        <v>26.977</v>
      </c>
      <c r="L6" s="10">
        <v>0.877</v>
      </c>
      <c r="M6" s="13">
        <v>7.0999999999999994E-2</v>
      </c>
      <c r="N6" s="12">
        <v>28.670999999999999</v>
      </c>
      <c r="O6" s="10">
        <v>0.84</v>
      </c>
      <c r="P6" s="13">
        <v>9.9000000000000005E-2</v>
      </c>
      <c r="Q6" s="12">
        <v>28.831</v>
      </c>
      <c r="R6" s="39">
        <v>0.83799999999999997</v>
      </c>
      <c r="S6" s="13">
        <v>7.2999999999999995E-2</v>
      </c>
      <c r="T6" s="12">
        <v>32.526000000000003</v>
      </c>
      <c r="U6" s="17">
        <v>0.89800000000000002</v>
      </c>
      <c r="V6" s="13">
        <v>5.7000000000000002E-2</v>
      </c>
      <c r="W6" s="12">
        <v>30.140999999999998</v>
      </c>
      <c r="X6" s="10">
        <v>0.88500000000000001</v>
      </c>
      <c r="Y6" s="13">
        <v>0.121</v>
      </c>
      <c r="Z6" s="12">
        <v>29.21</v>
      </c>
      <c r="AA6" s="10">
        <v>0.86399999999999999</v>
      </c>
      <c r="AB6" s="13">
        <v>0.11799999999999999</v>
      </c>
      <c r="AC6" s="10" cm="1">
        <f t="array" ref="AC6">AverageSkip($B$6:$Z$6, 3)</f>
        <v>29.678666666666668</v>
      </c>
      <c r="AD6" s="10" cm="1">
        <f t="array" ref="AD6">AverageSkip($C$6:$AA$6, 3)</f>
        <v>0.87077777777777765</v>
      </c>
      <c r="AE6" s="10" cm="1">
        <f t="array" ref="AE6">AverageSkip($D$6:$AB$6, 3)</f>
        <v>8.4000000000000005E-2</v>
      </c>
      <c r="AF6" s="10"/>
    </row>
    <row r="7" spans="1:39" ht="13.2" x14ac:dyDescent="0.25">
      <c r="A7" s="11" t="s">
        <v>17</v>
      </c>
      <c r="B7" s="10">
        <v>27.285</v>
      </c>
      <c r="C7" s="10">
        <v>0.82699999999999996</v>
      </c>
      <c r="D7" s="10">
        <v>0.16</v>
      </c>
      <c r="E7" s="12">
        <v>29.634</v>
      </c>
      <c r="F7" s="17">
        <v>0.84699999999999998</v>
      </c>
      <c r="G7" s="13">
        <v>0.11899999999999999</v>
      </c>
      <c r="H7" s="14">
        <v>28.994</v>
      </c>
      <c r="I7" s="18">
        <v>0.83699999999999997</v>
      </c>
      <c r="J7" s="15">
        <v>0.105</v>
      </c>
      <c r="K7" s="12">
        <v>25.466999999999999</v>
      </c>
      <c r="L7" s="10">
        <v>0.83099999999999996</v>
      </c>
      <c r="M7" s="13">
        <v>0.13</v>
      </c>
      <c r="N7" s="12">
        <v>27.297999999999998</v>
      </c>
      <c r="O7" s="17">
        <v>0.78900000000000003</v>
      </c>
      <c r="P7" s="13">
        <v>0.17699999999999999</v>
      </c>
      <c r="Q7" s="19">
        <v>27.433</v>
      </c>
      <c r="R7" s="17">
        <v>0.78100000000000003</v>
      </c>
      <c r="S7" s="13">
        <v>0.13100000000000001</v>
      </c>
      <c r="T7" s="12">
        <v>30.931000000000001</v>
      </c>
      <c r="U7" s="17">
        <v>0.86499999999999999</v>
      </c>
      <c r="V7" s="13">
        <v>0.10100000000000001</v>
      </c>
      <c r="W7" s="12">
        <v>27.960999999999999</v>
      </c>
      <c r="X7" s="10">
        <v>0.82599999999999996</v>
      </c>
      <c r="Y7" s="13">
        <v>0.223</v>
      </c>
      <c r="Z7" s="12">
        <v>27.623999999999999</v>
      </c>
      <c r="AA7" s="10">
        <v>0.81799999999999995</v>
      </c>
      <c r="AB7" s="13">
        <v>0.19600000000000001</v>
      </c>
      <c r="AC7" s="10" cm="1">
        <f t="array" ref="AC7">AverageSkip($B$7:$Z$7, 3)</f>
        <v>28.069666666666663</v>
      </c>
      <c r="AD7" s="10" cm="1">
        <f t="array" ref="AD7">AverageSkip($C$7:$AA$7, 3)</f>
        <v>0.82455555555555549</v>
      </c>
      <c r="AE7" s="10" cm="1">
        <f t="array" ref="AE7">AverageSkip($D$7:$AB$7, 3)</f>
        <v>0.14911111111111111</v>
      </c>
      <c r="AF7" s="10"/>
    </row>
    <row r="8" spans="1:39" ht="13.2" x14ac:dyDescent="0.25">
      <c r="A8" s="20" t="s">
        <v>18</v>
      </c>
      <c r="B8" s="21">
        <v>24.381</v>
      </c>
      <c r="C8" s="21">
        <v>0.67800000000000005</v>
      </c>
      <c r="D8" s="21">
        <v>0.33400000000000002</v>
      </c>
      <c r="E8" s="22">
        <v>22.218</v>
      </c>
      <c r="F8" s="23">
        <v>0.6</v>
      </c>
      <c r="G8" s="24">
        <v>0.41299999999999998</v>
      </c>
      <c r="H8" s="25">
        <v>25.588000000000001</v>
      </c>
      <c r="I8" s="26">
        <v>0.71199999999999997</v>
      </c>
      <c r="J8" s="27">
        <v>0.26700000000000002</v>
      </c>
      <c r="K8" s="22">
        <v>22.617000000000001</v>
      </c>
      <c r="L8" s="21">
        <v>0.69499999999999995</v>
      </c>
      <c r="M8" s="24">
        <v>0.33300000000000002</v>
      </c>
      <c r="N8" s="28">
        <v>24.466000000000001</v>
      </c>
      <c r="O8" s="23">
        <v>0.625</v>
      </c>
      <c r="P8" s="24">
        <v>0.38100000000000001</v>
      </c>
      <c r="Q8" s="28">
        <v>24.57</v>
      </c>
      <c r="R8" s="23">
        <v>0.63600000000000001</v>
      </c>
      <c r="S8" s="24">
        <v>0.33800000000000002</v>
      </c>
      <c r="T8" s="22">
        <v>27.456</v>
      </c>
      <c r="U8" s="23">
        <v>0.76</v>
      </c>
      <c r="V8" s="24">
        <v>0.251</v>
      </c>
      <c r="W8" s="22">
        <v>24.922999999999998</v>
      </c>
      <c r="X8" s="21">
        <v>0.66100000000000003</v>
      </c>
      <c r="Y8" s="24">
        <v>0.42399999999999999</v>
      </c>
      <c r="Z8" s="22">
        <v>23.94</v>
      </c>
      <c r="AA8" s="21">
        <v>0.69299999999999995</v>
      </c>
      <c r="AB8" s="24">
        <v>0.36499999999999999</v>
      </c>
      <c r="AC8" s="10" cm="1">
        <f t="array" ref="AC8">AverageSkip($B$8:$Z$8, 3)</f>
        <v>24.46211111111111</v>
      </c>
      <c r="AD8" s="10" cm="1">
        <f t="array" ref="AD8">AverageSkip($C$8:$AA$8, 3)</f>
        <v>0.67333333333333334</v>
      </c>
      <c r="AE8" s="10" cm="1">
        <f t="array" ref="AE8">AverageSkip($D$8:$AB$8, 3)</f>
        <v>0.34511111111111109</v>
      </c>
      <c r="AK8" s="76" t="s">
        <v>7</v>
      </c>
      <c r="AL8" s="77"/>
      <c r="AM8" s="78"/>
    </row>
    <row r="9" spans="1:39" ht="13.8" thickBot="1" x14ac:dyDescent="0.3">
      <c r="A9" s="11" t="s">
        <v>19</v>
      </c>
      <c r="B9" s="10">
        <v>22.86</v>
      </c>
      <c r="C9" s="10">
        <v>0.755</v>
      </c>
      <c r="D9" s="10">
        <v>0.14199999999999999</v>
      </c>
      <c r="E9" s="12">
        <v>30.968</v>
      </c>
      <c r="F9" s="10">
        <v>0.93700000000000006</v>
      </c>
      <c r="G9" s="13">
        <v>3.9E-2</v>
      </c>
      <c r="H9" s="14">
        <v>28.547999999999998</v>
      </c>
      <c r="I9" s="15">
        <v>0.9</v>
      </c>
      <c r="J9" s="16">
        <v>6.0999999999999999E-2</v>
      </c>
      <c r="K9" s="12">
        <v>21.914999999999999</v>
      </c>
      <c r="L9" s="10">
        <v>0.72199999999999998</v>
      </c>
      <c r="M9" s="13">
        <v>0.20100000000000001</v>
      </c>
      <c r="N9" s="12">
        <v>28.806000000000001</v>
      </c>
      <c r="O9" s="10">
        <v>0.90500000000000003</v>
      </c>
      <c r="P9" s="13">
        <v>4.9000000000000002E-2</v>
      </c>
      <c r="Q9" s="12">
        <v>30.981999999999999</v>
      </c>
      <c r="R9" s="10">
        <v>0.93500000000000005</v>
      </c>
      <c r="S9" s="13">
        <v>2.8000000000000001E-2</v>
      </c>
      <c r="T9" s="12">
        <v>30.609000000000002</v>
      </c>
      <c r="U9" s="10">
        <v>0.92500000000000004</v>
      </c>
      <c r="V9" s="13">
        <v>5.0999999999999997E-2</v>
      </c>
      <c r="W9" s="12">
        <v>26.492999999999999</v>
      </c>
      <c r="X9" s="10">
        <v>0.78900000000000003</v>
      </c>
      <c r="Y9" s="13">
        <v>0.129</v>
      </c>
      <c r="Z9" s="12">
        <v>22.062999999999999</v>
      </c>
      <c r="AA9" s="10">
        <v>0.747</v>
      </c>
      <c r="AB9" s="13">
        <v>0.17599999999999999</v>
      </c>
      <c r="AC9" s="10" cm="1">
        <f t="array" ref="AC9">AverageSkip($B$9:$Z$9, 3)</f>
        <v>27.027111111111111</v>
      </c>
      <c r="AD9" s="10" cm="1">
        <f t="array" ref="AD9">AverageSkip($C$9:$AA$9, 3)</f>
        <v>0.84611111111111104</v>
      </c>
      <c r="AE9" s="10" cm="1">
        <f t="array" ref="AE9">AverageSkip($D$9:$AB$9, 3)</f>
        <v>9.7333333333333341E-2</v>
      </c>
      <c r="AK9" s="4" t="s">
        <v>10</v>
      </c>
      <c r="AL9" s="4" t="s">
        <v>11</v>
      </c>
      <c r="AM9" s="5" t="s">
        <v>12</v>
      </c>
    </row>
    <row r="10" spans="1:39" ht="14.4" thickTop="1" thickBot="1" x14ac:dyDescent="0.3">
      <c r="A10" s="11" t="s">
        <v>20</v>
      </c>
      <c r="B10" s="10">
        <v>22.67</v>
      </c>
      <c r="C10" s="10">
        <v>0.73499999999999999</v>
      </c>
      <c r="D10" s="10">
        <v>0.184</v>
      </c>
      <c r="E10" s="12">
        <v>29.901</v>
      </c>
      <c r="F10" s="10">
        <v>0.90700000000000003</v>
      </c>
      <c r="G10" s="13">
        <v>7.2999999999999995E-2</v>
      </c>
      <c r="H10" s="14">
        <v>28.053000000000001</v>
      </c>
      <c r="I10" s="15">
        <v>0.877</v>
      </c>
      <c r="J10" s="16">
        <v>8.6999999999999994E-2</v>
      </c>
      <c r="K10" s="12">
        <v>21.701000000000001</v>
      </c>
      <c r="L10" s="10">
        <v>0.70399999999999996</v>
      </c>
      <c r="M10" s="13">
        <v>0.224</v>
      </c>
      <c r="N10" s="12">
        <v>27.776</v>
      </c>
      <c r="O10" s="10">
        <v>0.86899999999999999</v>
      </c>
      <c r="P10" s="13">
        <v>0.108</v>
      </c>
      <c r="Q10" s="12">
        <v>29.690999999999999</v>
      </c>
      <c r="R10" s="39">
        <v>0.9</v>
      </c>
      <c r="S10" s="13">
        <v>6.2E-2</v>
      </c>
      <c r="T10" s="12">
        <v>30.39</v>
      </c>
      <c r="U10" s="10">
        <v>0.91500000000000004</v>
      </c>
      <c r="V10" s="13">
        <v>7.5999999999999998E-2</v>
      </c>
      <c r="W10" s="12">
        <v>25.992000000000001</v>
      </c>
      <c r="X10" s="10">
        <v>0.76100000000000001</v>
      </c>
      <c r="Y10" s="13">
        <v>0.17199999999999999</v>
      </c>
      <c r="Z10" s="12">
        <v>21.911999999999999</v>
      </c>
      <c r="AA10" s="10">
        <v>0.72399999999999998</v>
      </c>
      <c r="AB10" s="13">
        <v>0.218</v>
      </c>
      <c r="AC10" s="10" cm="1">
        <f t="array" ref="AC10">AverageSkip($B$10:$Z$10, 3)</f>
        <v>26.454000000000001</v>
      </c>
      <c r="AD10" s="10" cm="1">
        <f t="array" ref="AD10">AverageSkip($C$10:$AA$10, 3)</f>
        <v>0.82133333333333336</v>
      </c>
      <c r="AE10" s="10" cm="1">
        <f t="array" ref="AE10">AverageSkip($D$10:$AB$10, 3)</f>
        <v>0.13377777777777777</v>
      </c>
      <c r="AK10" s="8">
        <v>27.091000000000001</v>
      </c>
      <c r="AL10" s="7">
        <v>0.81399999999999995</v>
      </c>
      <c r="AM10" s="9">
        <v>0.105</v>
      </c>
    </row>
    <row r="11" spans="1:39" ht="13.8" thickBot="1" x14ac:dyDescent="0.3">
      <c r="A11" s="11" t="s">
        <v>21</v>
      </c>
      <c r="B11" s="10">
        <v>22.445</v>
      </c>
      <c r="C11" s="10">
        <v>0.71299999999999997</v>
      </c>
      <c r="D11" s="10">
        <v>0.222</v>
      </c>
      <c r="E11" s="12">
        <v>29.73</v>
      </c>
      <c r="F11" s="17">
        <v>0.9</v>
      </c>
      <c r="G11" s="13">
        <v>9.4E-2</v>
      </c>
      <c r="H11" s="14">
        <v>27.780999999999999</v>
      </c>
      <c r="I11" s="15">
        <v>0.86299999999999999</v>
      </c>
      <c r="J11" s="16">
        <v>0.111</v>
      </c>
      <c r="K11" s="12">
        <v>21.579000000000001</v>
      </c>
      <c r="L11" s="10">
        <v>0.69099999999999995</v>
      </c>
      <c r="M11" s="13">
        <v>0.247</v>
      </c>
      <c r="N11" s="12">
        <v>27.268999999999998</v>
      </c>
      <c r="O11" s="10">
        <v>0.84199999999999997</v>
      </c>
      <c r="P11" s="13">
        <v>0.16600000000000001</v>
      </c>
      <c r="Q11" s="12">
        <v>28.818999999999999</v>
      </c>
      <c r="R11" s="39">
        <v>0.86699999999999999</v>
      </c>
      <c r="S11" s="13">
        <v>0.10100000000000001</v>
      </c>
      <c r="T11" s="12">
        <v>29.771000000000001</v>
      </c>
      <c r="U11" s="17">
        <v>0.90100000000000002</v>
      </c>
      <c r="V11" s="13">
        <v>9.8000000000000004E-2</v>
      </c>
      <c r="W11" s="64">
        <v>21.344999999999999</v>
      </c>
      <c r="X11" s="61">
        <v>0.60599999999999998</v>
      </c>
      <c r="Y11" s="44">
        <v>0.25800000000000001</v>
      </c>
      <c r="Z11" s="12">
        <v>21.873999999999999</v>
      </c>
      <c r="AA11" s="10">
        <v>0.70399999999999996</v>
      </c>
      <c r="AB11" s="13">
        <v>0.25900000000000001</v>
      </c>
      <c r="AC11" s="10" cm="1">
        <f t="array" ref="AC11">AverageSkip($B$11:$Z$11, 3)</f>
        <v>25.623666666666665</v>
      </c>
      <c r="AD11" s="10" cm="1">
        <f t="array" ref="AD11">AverageSkip($C$11:$AA$11, 3)</f>
        <v>0.78744444444444428</v>
      </c>
      <c r="AE11" s="10" cm="1">
        <f t="array" ref="AE11">AverageSkip($D$11:$AB$11, 3)</f>
        <v>0.1728888888888889</v>
      </c>
      <c r="AK11" s="12">
        <v>26.492999999999999</v>
      </c>
      <c r="AL11" s="10">
        <v>0.78900000000000003</v>
      </c>
      <c r="AM11" s="13">
        <v>0.129</v>
      </c>
    </row>
    <row r="12" spans="1:39" ht="13.8" thickBot="1" x14ac:dyDescent="0.3">
      <c r="A12" s="11" t="s">
        <v>22</v>
      </c>
      <c r="B12" s="10">
        <v>21.657</v>
      </c>
      <c r="C12" s="10">
        <v>0.67</v>
      </c>
      <c r="D12" s="10">
        <v>0.26900000000000002</v>
      </c>
      <c r="E12" s="12">
        <v>28.677</v>
      </c>
      <c r="F12" s="17">
        <v>0.86799999999999999</v>
      </c>
      <c r="G12" s="13">
        <v>0.14899999999999999</v>
      </c>
      <c r="H12" s="14">
        <v>27.114999999999998</v>
      </c>
      <c r="I12" s="18">
        <v>0.83799999999999997</v>
      </c>
      <c r="J12" s="16">
        <v>0.14699999999999999</v>
      </c>
      <c r="K12" s="12">
        <v>21.109000000000002</v>
      </c>
      <c r="L12" s="10">
        <v>0.64700000000000002</v>
      </c>
      <c r="M12" s="13">
        <v>0.29099999999999998</v>
      </c>
      <c r="N12" s="12">
        <v>26.126999999999999</v>
      </c>
      <c r="O12" s="17">
        <v>0.80100000000000005</v>
      </c>
      <c r="P12" s="13">
        <v>0.23899999999999999</v>
      </c>
      <c r="Q12" s="19">
        <v>27.8</v>
      </c>
      <c r="R12" s="17">
        <v>0.81699999999999995</v>
      </c>
      <c r="S12" s="13">
        <v>0.16400000000000001</v>
      </c>
      <c r="T12" s="12">
        <v>29.341000000000001</v>
      </c>
      <c r="U12" s="17">
        <v>0.88700000000000001</v>
      </c>
      <c r="V12" s="13">
        <v>0.13200000000000001</v>
      </c>
      <c r="W12" s="30">
        <v>24.87</v>
      </c>
      <c r="X12" s="31">
        <v>0.69799999999999995</v>
      </c>
      <c r="Y12" s="13">
        <v>0.26600000000000001</v>
      </c>
      <c r="Z12" s="12">
        <v>21.596</v>
      </c>
      <c r="AA12" s="10">
        <v>0.67600000000000005</v>
      </c>
      <c r="AB12" s="13">
        <v>0.30499999999999999</v>
      </c>
      <c r="AC12" s="10" cm="1">
        <f t="array" ref="AC12">AverageSkip($B$12:$Z$12, 3)</f>
        <v>25.36577777777778</v>
      </c>
      <c r="AD12" s="10" cm="1">
        <f t="array" ref="AD12">AverageSkip($C$12:$AA$12, 3)</f>
        <v>0.76688888888888895</v>
      </c>
      <c r="AE12" s="10" cm="1">
        <f t="array" ref="AE12">AverageSkip($D$12:$AB$12, 3)</f>
        <v>0.218</v>
      </c>
      <c r="AK12" s="12">
        <v>25.992000000000001</v>
      </c>
      <c r="AL12" s="10">
        <v>0.76100000000000001</v>
      </c>
      <c r="AM12" s="13">
        <v>0.17199999999999999</v>
      </c>
    </row>
    <row r="13" spans="1:39" ht="13.8" thickBot="1" x14ac:dyDescent="0.3">
      <c r="A13" s="6" t="s">
        <v>23</v>
      </c>
      <c r="B13" s="7">
        <v>20.905000000000001</v>
      </c>
      <c r="C13" s="7">
        <v>0.55000000000000004</v>
      </c>
      <c r="D13" s="9">
        <v>0.37</v>
      </c>
      <c r="E13" s="8">
        <v>21.294</v>
      </c>
      <c r="F13" s="32">
        <v>0.61499999999999999</v>
      </c>
      <c r="G13" s="9">
        <v>0.434</v>
      </c>
      <c r="H13" s="33">
        <v>25.312999999999999</v>
      </c>
      <c r="I13" s="34">
        <v>0.747</v>
      </c>
      <c r="J13" s="35">
        <v>0.27</v>
      </c>
      <c r="K13" s="8">
        <v>18.82</v>
      </c>
      <c r="L13" s="7">
        <v>0.48299999999999998</v>
      </c>
      <c r="M13" s="9">
        <v>0.41799999999999998</v>
      </c>
      <c r="N13" s="36">
        <v>24.684000000000001</v>
      </c>
      <c r="O13" s="32">
        <v>0.67100000000000004</v>
      </c>
      <c r="P13" s="9">
        <v>0.40400000000000003</v>
      </c>
      <c r="Q13" s="36">
        <v>24.984999999999999</v>
      </c>
      <c r="R13" s="32">
        <v>0.67300000000000004</v>
      </c>
      <c r="S13" s="9">
        <v>0.36</v>
      </c>
      <c r="T13" s="8">
        <v>27.172000000000001</v>
      </c>
      <c r="U13" s="32">
        <v>0.80500000000000005</v>
      </c>
      <c r="V13" s="9">
        <v>0.23699999999999999</v>
      </c>
      <c r="W13" s="8">
        <v>22.14</v>
      </c>
      <c r="X13" s="7">
        <v>0.501</v>
      </c>
      <c r="Y13" s="9">
        <v>0.40100000000000002</v>
      </c>
      <c r="Z13" s="8">
        <v>18.181999999999999</v>
      </c>
      <c r="AA13" s="7">
        <v>0.504</v>
      </c>
      <c r="AB13" s="9">
        <v>0.40699999999999997</v>
      </c>
      <c r="AC13" s="10" cm="1">
        <f t="array" ref="AC13">AverageSkip($B$13:$Z$13, 3)</f>
        <v>22.610555555555553</v>
      </c>
      <c r="AD13" s="10" cm="1">
        <f t="array" ref="AD13">AverageSkip($C$13:$AA$13, 3)</f>
        <v>0.61655555555555552</v>
      </c>
      <c r="AE13" s="10" cm="1">
        <f t="array" ref="AE13">AverageSkip($D$13:$AB$13, 3)</f>
        <v>0.36677777777777781</v>
      </c>
      <c r="AK13" s="64">
        <v>21.344999999999999</v>
      </c>
      <c r="AL13" s="61">
        <v>0.60599999999999998</v>
      </c>
      <c r="AM13" s="44">
        <v>0.25800000000000001</v>
      </c>
    </row>
    <row r="14" spans="1:39" ht="13.8" thickBot="1" x14ac:dyDescent="0.3">
      <c r="A14" s="11" t="s">
        <v>24</v>
      </c>
      <c r="B14" s="10">
        <v>28.341999999999999</v>
      </c>
      <c r="C14" s="10">
        <v>0.77700000000000002</v>
      </c>
      <c r="D14" s="13">
        <v>0.23799999999999999</v>
      </c>
      <c r="E14" s="10">
        <v>34.051000000000002</v>
      </c>
      <c r="F14" s="10">
        <v>0.92500000000000004</v>
      </c>
      <c r="G14" s="10">
        <v>4.2000000000000003E-2</v>
      </c>
      <c r="H14" s="12">
        <v>33.125999999999998</v>
      </c>
      <c r="I14" s="10">
        <v>0.90900000000000003</v>
      </c>
      <c r="J14" s="10">
        <v>4.2000000000000003E-2</v>
      </c>
      <c r="K14" s="12">
        <v>26.713999999999999</v>
      </c>
      <c r="L14" s="10">
        <v>0.88800000000000001</v>
      </c>
      <c r="M14" s="10">
        <v>4.9000000000000002E-2</v>
      </c>
      <c r="N14" s="12">
        <v>30.47</v>
      </c>
      <c r="O14" s="10">
        <v>0.85</v>
      </c>
      <c r="P14" s="10">
        <v>0.114</v>
      </c>
      <c r="Q14" s="12">
        <v>32.337000000000003</v>
      </c>
      <c r="R14" s="10">
        <v>0.90200000000000002</v>
      </c>
      <c r="S14" s="10">
        <v>5.5E-2</v>
      </c>
      <c r="T14" s="12">
        <v>34.899000000000001</v>
      </c>
      <c r="U14" s="10">
        <v>0.92500000000000004</v>
      </c>
      <c r="V14" s="10">
        <v>4.8000000000000001E-2</v>
      </c>
      <c r="W14" s="12">
        <v>29.631</v>
      </c>
      <c r="X14" s="10">
        <v>0.82399999999999995</v>
      </c>
      <c r="Y14" s="10">
        <v>0.20200000000000001</v>
      </c>
      <c r="Z14" s="12">
        <v>27.457999999999998</v>
      </c>
      <c r="AA14" s="10">
        <v>0.83699999999999997</v>
      </c>
      <c r="AB14" s="13">
        <v>0.10199999999999999</v>
      </c>
      <c r="AC14" s="10" cm="1">
        <f t="array" ref="AC14">AverageSkip($B$14:$Z$14, 3)</f>
        <v>30.780888888888892</v>
      </c>
      <c r="AD14" s="10" cm="1">
        <f t="array" ref="AD14">AverageSkip($C$14:$AA$14, 3)</f>
        <v>0.87077777777777765</v>
      </c>
      <c r="AE14" s="10" cm="1">
        <f t="array" ref="AE14">AverageSkip($D$14:$AB$14, 3)</f>
        <v>9.9111111111111108E-2</v>
      </c>
      <c r="AF14" s="10"/>
      <c r="AH14" s="79" t="s">
        <v>0</v>
      </c>
      <c r="AI14" s="77"/>
      <c r="AJ14" s="78"/>
      <c r="AK14" s="30">
        <v>24.87</v>
      </c>
      <c r="AL14" s="31">
        <v>0.69799999999999995</v>
      </c>
      <c r="AM14" s="13">
        <v>0.26600000000000001</v>
      </c>
    </row>
    <row r="15" spans="1:39" ht="13.8" thickBot="1" x14ac:dyDescent="0.3">
      <c r="A15" s="11" t="s">
        <v>25</v>
      </c>
      <c r="B15" s="10">
        <v>24.779</v>
      </c>
      <c r="C15" s="10">
        <v>0.63500000000000001</v>
      </c>
      <c r="D15" s="13">
        <v>0.375</v>
      </c>
      <c r="E15" s="10">
        <v>31.562999999999999</v>
      </c>
      <c r="F15" s="10">
        <v>0.874</v>
      </c>
      <c r="G15" s="10">
        <v>0.10199999999999999</v>
      </c>
      <c r="H15" s="12">
        <v>30.89</v>
      </c>
      <c r="I15" s="10">
        <v>0.85699999999999998</v>
      </c>
      <c r="J15" s="10">
        <v>9.8000000000000004E-2</v>
      </c>
      <c r="K15" s="12">
        <v>24.256</v>
      </c>
      <c r="L15" s="10">
        <v>0.76</v>
      </c>
      <c r="M15" s="10">
        <v>0.215</v>
      </c>
      <c r="N15" s="12">
        <v>27.945</v>
      </c>
      <c r="O15" s="10">
        <v>0.72599999999999998</v>
      </c>
      <c r="P15" s="10">
        <v>0.27300000000000002</v>
      </c>
      <c r="Q15" s="12">
        <v>30.045000000000002</v>
      </c>
      <c r="R15" s="10">
        <v>0.84199999999999997</v>
      </c>
      <c r="S15" s="10">
        <v>0.113</v>
      </c>
      <c r="T15" s="47">
        <v>32.78</v>
      </c>
      <c r="U15" s="48">
        <v>0.89100000000000001</v>
      </c>
      <c r="V15" s="44">
        <v>8.5999999999999993E-2</v>
      </c>
      <c r="W15" s="12">
        <v>26.222999999999999</v>
      </c>
      <c r="X15" s="10">
        <v>0.66</v>
      </c>
      <c r="Y15" s="10">
        <v>0.38800000000000001</v>
      </c>
      <c r="Z15" s="12">
        <v>26.533000000000001</v>
      </c>
      <c r="AA15" s="10">
        <v>0.75</v>
      </c>
      <c r="AB15" s="13">
        <v>0.249</v>
      </c>
      <c r="AC15" s="10" cm="1">
        <f t="array" ref="AC15">AverageSkip($B$15:$Z$15, 3)</f>
        <v>28.334888888888891</v>
      </c>
      <c r="AD15" s="10" cm="1">
        <f t="array" ref="AD15">AverageSkip($C$15:$AA$15, 3)</f>
        <v>0.77722222222222215</v>
      </c>
      <c r="AE15" s="10" cm="1">
        <f t="array" ref="AE15">AverageSkip($D$15:$AB$15, 3)</f>
        <v>0.21099999999999999</v>
      </c>
      <c r="AF15" s="10"/>
      <c r="AG15" s="3" t="s">
        <v>9</v>
      </c>
      <c r="AH15" s="4" t="s">
        <v>10</v>
      </c>
      <c r="AI15" s="4" t="s">
        <v>11</v>
      </c>
      <c r="AJ15" s="5" t="s">
        <v>12</v>
      </c>
      <c r="AK15" s="8">
        <v>22.14</v>
      </c>
      <c r="AL15" s="7">
        <v>0.501</v>
      </c>
      <c r="AM15" s="9">
        <v>0.40100000000000002</v>
      </c>
    </row>
    <row r="16" spans="1:39" ht="13.8" thickBot="1" x14ac:dyDescent="0.3">
      <c r="A16" s="11" t="s">
        <v>26</v>
      </c>
      <c r="B16" s="10">
        <v>23.213999999999999</v>
      </c>
      <c r="C16" s="10">
        <v>0.56000000000000005</v>
      </c>
      <c r="D16" s="13">
        <v>0.497</v>
      </c>
      <c r="E16" s="10">
        <v>28.661000000000001</v>
      </c>
      <c r="F16" s="10">
        <v>0.78300000000000003</v>
      </c>
      <c r="G16" s="10">
        <v>0.23499999999999999</v>
      </c>
      <c r="H16" s="12">
        <v>28.123999999999999</v>
      </c>
      <c r="I16" s="10">
        <v>0.77800000000000002</v>
      </c>
      <c r="J16" s="10">
        <v>0.191</v>
      </c>
      <c r="K16" s="12">
        <v>22.951000000000001</v>
      </c>
      <c r="L16" s="10">
        <v>0.64900000000000002</v>
      </c>
      <c r="M16" s="10">
        <v>0.38200000000000001</v>
      </c>
      <c r="N16" s="12">
        <v>25.545999999999999</v>
      </c>
      <c r="O16" s="10">
        <v>0.58799999999999997</v>
      </c>
      <c r="P16" s="10">
        <v>0.45200000000000001</v>
      </c>
      <c r="Q16" s="12">
        <v>24.344999999999999</v>
      </c>
      <c r="R16" s="10">
        <v>0.61299999999999999</v>
      </c>
      <c r="S16" s="10">
        <v>0.314</v>
      </c>
      <c r="T16" s="12">
        <v>29.489000000000001</v>
      </c>
      <c r="U16" s="10">
        <v>0.82399999999999995</v>
      </c>
      <c r="V16" s="10">
        <v>0.16400000000000001</v>
      </c>
      <c r="W16" s="12" t="s">
        <v>27</v>
      </c>
      <c r="X16" s="10" t="s">
        <v>27</v>
      </c>
      <c r="Y16" s="10" t="s">
        <v>27</v>
      </c>
      <c r="Z16" s="12">
        <v>23.515999999999998</v>
      </c>
      <c r="AA16" s="10">
        <v>0.58199999999999996</v>
      </c>
      <c r="AB16" s="13">
        <v>0.52200000000000002</v>
      </c>
      <c r="AC16" s="10" cm="1">
        <f t="array" ref="AC16">AverageSkip($B$16:$Z$16, 3)</f>
        <v>25.730749999999997</v>
      </c>
      <c r="AD16" s="10" cm="1">
        <f t="array" ref="AD16">AverageSkip($C$16:$AA$16, 3)</f>
        <v>0.67212499999999997</v>
      </c>
      <c r="AE16" s="10" cm="1">
        <f t="array" ref="AE16">AverageSkip($D$16:$AB$16, 3)</f>
        <v>0.34462500000000007</v>
      </c>
      <c r="AF16" s="10"/>
      <c r="AG16" s="6" t="s">
        <v>13</v>
      </c>
      <c r="AH16" s="7">
        <v>23.109000000000002</v>
      </c>
      <c r="AI16" s="7">
        <v>0.76700000000000002</v>
      </c>
      <c r="AJ16" s="7">
        <v>0.129</v>
      </c>
      <c r="AK16" s="63">
        <v>21.992000000000001</v>
      </c>
      <c r="AL16" s="45">
        <v>0.55400000000000005</v>
      </c>
      <c r="AM16" s="46">
        <v>0.28999999999999998</v>
      </c>
    </row>
    <row r="17" spans="1:39" ht="13.8" thickBot="1" x14ac:dyDescent="0.3">
      <c r="A17" s="20" t="s">
        <v>28</v>
      </c>
      <c r="B17" s="21">
        <v>20.821000000000002</v>
      </c>
      <c r="C17" s="21">
        <v>0.43</v>
      </c>
      <c r="D17" s="24">
        <v>0.65400000000000003</v>
      </c>
      <c r="E17" s="21">
        <v>25.48</v>
      </c>
      <c r="F17" s="21">
        <v>0.67</v>
      </c>
      <c r="G17" s="21">
        <v>0.40400000000000003</v>
      </c>
      <c r="H17" s="22">
        <v>25.606000000000002</v>
      </c>
      <c r="I17" s="21">
        <v>0.68799999999999994</v>
      </c>
      <c r="J17" s="21">
        <v>0.312</v>
      </c>
      <c r="K17" s="22" t="s">
        <v>27</v>
      </c>
      <c r="L17" s="21" t="s">
        <v>27</v>
      </c>
      <c r="M17" s="21" t="s">
        <v>27</v>
      </c>
      <c r="N17" s="22">
        <v>23.571999999999999</v>
      </c>
      <c r="O17" s="21">
        <v>0.46500000000000002</v>
      </c>
      <c r="P17" s="21">
        <v>0.62</v>
      </c>
      <c r="Q17" s="28">
        <v>22.623000000000001</v>
      </c>
      <c r="R17" s="23">
        <v>0.50600000000000001</v>
      </c>
      <c r="S17" s="21">
        <v>0.47</v>
      </c>
      <c r="T17" s="22">
        <v>26.032</v>
      </c>
      <c r="U17" s="21">
        <v>0.71899999999999997</v>
      </c>
      <c r="V17" s="21">
        <v>0.27200000000000002</v>
      </c>
      <c r="W17" s="22" t="s">
        <v>27</v>
      </c>
      <c r="X17" s="21" t="s">
        <v>27</v>
      </c>
      <c r="Y17" s="21" t="s">
        <v>27</v>
      </c>
      <c r="Z17" s="22" t="s">
        <v>27</v>
      </c>
      <c r="AA17" s="21" t="s">
        <v>27</v>
      </c>
      <c r="AB17" s="24" t="s">
        <v>27</v>
      </c>
      <c r="AC17" s="10" cm="1">
        <f t="array" ref="AC17">AverageSkip($B$17:$Z$17, 3)</f>
        <v>24.022333333333336</v>
      </c>
      <c r="AD17" s="10" cm="1">
        <f t="array" ref="AD17">AverageSkip($C$17:$AA$17, 3)</f>
        <v>0.57966666666666666</v>
      </c>
      <c r="AE17" s="10" cm="1">
        <f t="array" ref="AE17">AverageSkip($D$17:$AB$17, 3)</f>
        <v>0.45533333333333337</v>
      </c>
      <c r="AF17" s="10"/>
      <c r="AG17" s="11" t="s">
        <v>29</v>
      </c>
      <c r="AH17" s="10">
        <v>22.385999999999999</v>
      </c>
      <c r="AI17" s="10">
        <v>0.65500000000000003</v>
      </c>
      <c r="AJ17" s="13">
        <v>0.27900000000000003</v>
      </c>
      <c r="AK17" s="12">
        <v>22.126000000000001</v>
      </c>
      <c r="AL17" s="10">
        <v>0.48599999999999999</v>
      </c>
      <c r="AM17" s="13">
        <v>0.41299999999999998</v>
      </c>
    </row>
    <row r="18" spans="1:39" ht="13.8" thickBot="1" x14ac:dyDescent="0.3">
      <c r="A18" s="11" t="s">
        <v>29</v>
      </c>
      <c r="B18" s="10">
        <v>22.385999999999999</v>
      </c>
      <c r="C18" s="10">
        <v>0.65500000000000003</v>
      </c>
      <c r="D18" s="13">
        <v>0.27900000000000003</v>
      </c>
      <c r="E18" s="12">
        <v>29.707000000000001</v>
      </c>
      <c r="F18" s="10">
        <v>0.88900000000000001</v>
      </c>
      <c r="G18" s="13">
        <v>9.6000000000000002E-2</v>
      </c>
      <c r="H18" s="12">
        <v>28.021000000000001</v>
      </c>
      <c r="I18" s="10">
        <v>0.84699999999999998</v>
      </c>
      <c r="J18" s="13">
        <v>0.12</v>
      </c>
      <c r="K18" s="12">
        <v>20.882000000000001</v>
      </c>
      <c r="L18" s="10">
        <v>0.66500000000000004</v>
      </c>
      <c r="M18" s="13">
        <v>0.22800000000000001</v>
      </c>
      <c r="N18" s="12">
        <v>26.812000000000001</v>
      </c>
      <c r="O18" s="10">
        <v>0.77200000000000002</v>
      </c>
      <c r="P18" s="13">
        <v>0.23499999999999999</v>
      </c>
      <c r="Q18" s="12">
        <v>29.221</v>
      </c>
      <c r="R18" s="10">
        <v>0.86</v>
      </c>
      <c r="S18" s="13">
        <v>0.104</v>
      </c>
      <c r="T18" s="12">
        <v>29.902000000000001</v>
      </c>
      <c r="U18" s="10">
        <v>0.89200000000000002</v>
      </c>
      <c r="V18" s="13">
        <v>0.10199999999999999</v>
      </c>
      <c r="W18" s="63">
        <v>21.992000000000001</v>
      </c>
      <c r="X18" s="45">
        <v>0.55400000000000005</v>
      </c>
      <c r="Y18" s="46">
        <v>0.28999999999999998</v>
      </c>
      <c r="Z18" s="12">
        <v>20.824000000000002</v>
      </c>
      <c r="AA18" s="10">
        <v>0.63200000000000001</v>
      </c>
      <c r="AB18" s="13">
        <v>0.30299999999999999</v>
      </c>
      <c r="AC18" s="10" cm="1">
        <f t="array" ref="AC18">AverageSkip($B$18:$Z$18, 3)</f>
        <v>25.527444444444441</v>
      </c>
      <c r="AD18" s="10" cm="1">
        <f t="array" ref="AD18">AverageSkip($C$18:$AA$18, 3)</f>
        <v>0.75177777777777788</v>
      </c>
      <c r="AE18" s="10" cm="1">
        <f t="array" ref="AE18">AverageSkip($D$18:$AB$18, 3)</f>
        <v>0.19522222222222224</v>
      </c>
      <c r="AF18" s="10"/>
      <c r="AG18" s="11" t="s">
        <v>30</v>
      </c>
      <c r="AH18" s="68">
        <v>14.561999999999999</v>
      </c>
      <c r="AI18" s="69">
        <v>0.33900000000000002</v>
      </c>
      <c r="AJ18" s="70">
        <v>0.68799999999999994</v>
      </c>
      <c r="AK18" s="12" t="s">
        <v>32</v>
      </c>
      <c r="AL18" s="10" t="s">
        <v>32</v>
      </c>
      <c r="AM18" s="13" t="s">
        <v>32</v>
      </c>
    </row>
    <row r="19" spans="1:39" ht="13.8" thickBot="1" x14ac:dyDescent="0.3">
      <c r="A19" s="11" t="s">
        <v>30</v>
      </c>
      <c r="B19" s="60">
        <v>14.561999999999999</v>
      </c>
      <c r="C19" s="61">
        <v>0.33900000000000002</v>
      </c>
      <c r="D19" s="62">
        <v>0.68799999999999994</v>
      </c>
      <c r="E19" s="12">
        <v>28.428999999999998</v>
      </c>
      <c r="F19" s="10">
        <v>0.83599999999999997</v>
      </c>
      <c r="G19" s="13">
        <v>0.18</v>
      </c>
      <c r="H19" s="12">
        <v>27.13</v>
      </c>
      <c r="I19" s="10">
        <v>0.80100000000000005</v>
      </c>
      <c r="J19" s="13">
        <v>0.18</v>
      </c>
      <c r="K19" s="12">
        <v>20.305</v>
      </c>
      <c r="L19" s="10">
        <v>0.59199999999999997</v>
      </c>
      <c r="M19" s="13">
        <v>0.314</v>
      </c>
      <c r="N19" s="12">
        <v>25.363</v>
      </c>
      <c r="O19" s="10">
        <v>0.63700000000000001</v>
      </c>
      <c r="P19" s="13">
        <v>0.40200000000000002</v>
      </c>
      <c r="Q19" s="12">
        <v>27.463000000000001</v>
      </c>
      <c r="R19" s="10">
        <v>0.77100000000000002</v>
      </c>
      <c r="S19" s="13">
        <v>0.19700000000000001</v>
      </c>
      <c r="T19" s="47">
        <v>28.18</v>
      </c>
      <c r="U19" s="48">
        <v>0.84699999999999998</v>
      </c>
      <c r="V19" s="44">
        <v>0.155</v>
      </c>
      <c r="W19" s="12">
        <v>22.126000000000001</v>
      </c>
      <c r="X19" s="10">
        <v>0.48599999999999999</v>
      </c>
      <c r="Y19" s="13">
        <v>0.41299999999999998</v>
      </c>
      <c r="Z19" s="12">
        <v>20.478000000000002</v>
      </c>
      <c r="AA19" s="10">
        <v>0.56000000000000005</v>
      </c>
      <c r="AB19" s="13">
        <v>0.40400000000000003</v>
      </c>
      <c r="AC19" s="10" cm="1">
        <f t="array" ref="AC19">AverageSkip($B$19:$Z$19, 3)</f>
        <v>23.781777777777776</v>
      </c>
      <c r="AD19" s="10" cm="1">
        <f t="array" ref="AD19">AverageSkip($C$19:$AA$19, 3)</f>
        <v>0.65211111111111109</v>
      </c>
      <c r="AE19" s="10" cm="1">
        <f t="array" ref="AE19">AverageSkip($D$19:$AB$19, 3)</f>
        <v>0.32588888888888884</v>
      </c>
      <c r="AF19" s="10"/>
      <c r="AG19" s="11" t="s">
        <v>31</v>
      </c>
      <c r="AH19" s="10">
        <v>18.893999999999998</v>
      </c>
      <c r="AI19" s="10">
        <v>0.44400000000000001</v>
      </c>
      <c r="AJ19" s="13">
        <v>0.52100000000000002</v>
      </c>
      <c r="AK19" s="22" t="s">
        <v>32</v>
      </c>
      <c r="AL19" s="21" t="s">
        <v>32</v>
      </c>
      <c r="AM19" s="24" t="s">
        <v>32</v>
      </c>
    </row>
    <row r="20" spans="1:39" ht="13.2" x14ac:dyDescent="0.25">
      <c r="A20" s="11" t="s">
        <v>31</v>
      </c>
      <c r="B20" s="10">
        <v>18.893999999999998</v>
      </c>
      <c r="C20" s="10">
        <v>0.44400000000000001</v>
      </c>
      <c r="D20" s="13">
        <v>0.52100000000000002</v>
      </c>
      <c r="E20" s="12">
        <v>26.202000000000002</v>
      </c>
      <c r="F20" s="10">
        <v>0.74</v>
      </c>
      <c r="G20" s="13">
        <v>0.32200000000000001</v>
      </c>
      <c r="H20" s="12">
        <v>25.643999999999998</v>
      </c>
      <c r="I20" s="10">
        <v>0.73499999999999999</v>
      </c>
      <c r="J20" s="13">
        <v>0.254</v>
      </c>
      <c r="K20" s="12">
        <v>15.881</v>
      </c>
      <c r="L20" s="10">
        <v>0.32</v>
      </c>
      <c r="M20" s="13">
        <v>0.56799999999999995</v>
      </c>
      <c r="N20" s="12">
        <v>23.376000000000001</v>
      </c>
      <c r="O20" s="10">
        <v>0.50700000000000001</v>
      </c>
      <c r="P20" s="13">
        <v>0.55700000000000005</v>
      </c>
      <c r="Q20" s="12">
        <v>23.95</v>
      </c>
      <c r="R20" s="10">
        <v>0.59599999999999997</v>
      </c>
      <c r="S20" s="13">
        <v>0.32900000000000001</v>
      </c>
      <c r="T20" s="12">
        <v>26.481999999999999</v>
      </c>
      <c r="U20" s="10">
        <v>0.78400000000000003</v>
      </c>
      <c r="V20" s="13">
        <v>0.22800000000000001</v>
      </c>
      <c r="W20" s="12" t="s">
        <v>32</v>
      </c>
      <c r="X20" s="10" t="s">
        <v>32</v>
      </c>
      <c r="Y20" s="13" t="s">
        <v>32</v>
      </c>
      <c r="Z20" s="12">
        <v>11.909000000000001</v>
      </c>
      <c r="AA20" s="10">
        <v>0.216</v>
      </c>
      <c r="AB20" s="13">
        <v>0.70199999999999996</v>
      </c>
      <c r="AC20" s="10" cm="1">
        <f t="array" ref="AC20">AverageSkip($B$20:$Z$20, 3)</f>
        <v>21.542249999999999</v>
      </c>
      <c r="AD20" s="10" cm="1">
        <f t="array" ref="AD20">AverageSkip($C$20:$AA$20, 3)</f>
        <v>0.54275000000000007</v>
      </c>
      <c r="AE20" s="10" cm="1">
        <f t="array" ref="AE20">AverageSkip($D$20:$AB$20, 3)</f>
        <v>0.43512500000000004</v>
      </c>
      <c r="AF20" s="10"/>
      <c r="AG20" s="20" t="s">
        <v>33</v>
      </c>
      <c r="AH20" s="21">
        <v>16.742000000000001</v>
      </c>
      <c r="AI20" s="21">
        <v>0.309</v>
      </c>
      <c r="AJ20" s="24">
        <v>0.67800000000000005</v>
      </c>
    </row>
    <row r="21" spans="1:39" ht="13.2" x14ac:dyDescent="0.25">
      <c r="A21" s="20" t="s">
        <v>33</v>
      </c>
      <c r="B21" s="21">
        <v>16.742000000000001</v>
      </c>
      <c r="C21" s="21">
        <v>0.309</v>
      </c>
      <c r="D21" s="24">
        <v>0.67800000000000005</v>
      </c>
      <c r="E21" s="22">
        <v>24.024000000000001</v>
      </c>
      <c r="F21" s="21">
        <v>0.64300000000000002</v>
      </c>
      <c r="G21" s="24">
        <v>0.45300000000000001</v>
      </c>
      <c r="H21" s="22">
        <v>23.768000000000001</v>
      </c>
      <c r="I21" s="21">
        <v>0.64800000000000002</v>
      </c>
      <c r="J21" s="24">
        <v>0.36299999999999999</v>
      </c>
      <c r="K21" s="22" t="s">
        <v>32</v>
      </c>
      <c r="L21" s="21" t="s">
        <v>32</v>
      </c>
      <c r="M21" s="24" t="s">
        <v>32</v>
      </c>
      <c r="N21" s="22">
        <v>21.885000000000002</v>
      </c>
      <c r="O21" s="21">
        <v>0.39300000000000002</v>
      </c>
      <c r="P21" s="24">
        <v>0.72699999999999998</v>
      </c>
      <c r="Q21" s="28">
        <v>22.709</v>
      </c>
      <c r="R21" s="23">
        <v>0.51700000000000002</v>
      </c>
      <c r="S21" s="24">
        <v>0.48499999999999999</v>
      </c>
      <c r="T21" s="22">
        <v>13.388999999999999</v>
      </c>
      <c r="U21" s="21">
        <v>0.377</v>
      </c>
      <c r="V21" s="24">
        <v>0.63500000000000001</v>
      </c>
      <c r="W21" s="22" t="s">
        <v>32</v>
      </c>
      <c r="X21" s="21" t="s">
        <v>32</v>
      </c>
      <c r="Y21" s="24" t="s">
        <v>32</v>
      </c>
      <c r="Z21" s="22" t="s">
        <v>32</v>
      </c>
      <c r="AA21" s="21" t="s">
        <v>32</v>
      </c>
      <c r="AB21" s="24" t="s">
        <v>32</v>
      </c>
      <c r="AC21" s="10" cm="1">
        <f t="array" ref="AC21">AverageSkip($B$21:$Z$21, 3)</f>
        <v>20.419500000000003</v>
      </c>
      <c r="AD21" s="10" cm="1">
        <f t="array" ref="AD21">AverageSkip($C$21:$AA$21, 3)</f>
        <v>0.48116666666666674</v>
      </c>
      <c r="AE21" s="10" cm="1">
        <f t="array" ref="AE21">AverageSkip($D$21:$AB$21, 3)</f>
        <v>0.5568333333333334</v>
      </c>
      <c r="AF21" s="10"/>
    </row>
    <row r="22" spans="1:39" ht="13.2" x14ac:dyDescent="0.25">
      <c r="A22" s="37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7"/>
      <c r="R22" s="17"/>
      <c r="S22" s="17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9" ht="15.75" customHeight="1" x14ac:dyDescent="0.25">
      <c r="B23" s="38" t="s">
        <v>34</v>
      </c>
      <c r="C23" s="38" t="s">
        <v>35</v>
      </c>
      <c r="D23" s="38" t="s">
        <v>36</v>
      </c>
      <c r="E23" s="38" t="s">
        <v>37</v>
      </c>
      <c r="F23" s="38" t="s">
        <v>38</v>
      </c>
      <c r="G23" s="38" t="s">
        <v>39</v>
      </c>
      <c r="H23" s="38" t="s">
        <v>40</v>
      </c>
      <c r="I23" s="38" t="s">
        <v>41</v>
      </c>
      <c r="J23" s="38" t="s">
        <v>42</v>
      </c>
    </row>
    <row r="24" spans="1:39" ht="15.75" customHeight="1" thickBot="1" x14ac:dyDescent="0.3">
      <c r="B24" s="4" t="s">
        <v>11</v>
      </c>
      <c r="C24" s="4" t="s">
        <v>11</v>
      </c>
      <c r="D24" s="4" t="s">
        <v>11</v>
      </c>
      <c r="E24" s="4" t="s">
        <v>11</v>
      </c>
      <c r="F24" s="4" t="s">
        <v>11</v>
      </c>
      <c r="G24" s="4" t="s">
        <v>11</v>
      </c>
      <c r="H24" s="4" t="s">
        <v>11</v>
      </c>
      <c r="I24" s="4" t="s">
        <v>11</v>
      </c>
      <c r="J24" s="4" t="s">
        <v>11</v>
      </c>
      <c r="L24" s="43"/>
      <c r="M24" s="43"/>
      <c r="N24" s="43"/>
      <c r="O24" s="43"/>
      <c r="P24" s="43"/>
      <c r="R24" s="3" t="s">
        <v>9</v>
      </c>
      <c r="S24" s="43" t="s">
        <v>46</v>
      </c>
      <c r="T24" s="43" t="s">
        <v>47</v>
      </c>
      <c r="U24" s="43" t="s">
        <v>48</v>
      </c>
      <c r="V24" s="43" t="s">
        <v>51</v>
      </c>
      <c r="W24" s="43" t="s">
        <v>52</v>
      </c>
      <c r="X24" s="43" t="s">
        <v>53</v>
      </c>
      <c r="AA24" s="3" t="s">
        <v>9</v>
      </c>
      <c r="AB24" s="43" t="s">
        <v>46</v>
      </c>
      <c r="AC24" s="43" t="s">
        <v>47</v>
      </c>
      <c r="AD24" s="43" t="s">
        <v>48</v>
      </c>
      <c r="AE24" s="43" t="s">
        <v>51</v>
      </c>
      <c r="AF24" s="43" t="s">
        <v>68</v>
      </c>
      <c r="AG24" s="43" t="s">
        <v>67</v>
      </c>
    </row>
    <row r="25" spans="1:39" ht="15.75" customHeight="1" thickTop="1" thickBot="1" x14ac:dyDescent="0.3">
      <c r="A25" s="6" t="s">
        <v>13</v>
      </c>
      <c r="B25" s="7">
        <v>0.76700000000000002</v>
      </c>
      <c r="C25" s="7">
        <v>0.94799999999999995</v>
      </c>
      <c r="D25" s="7">
        <v>0.90900000000000003</v>
      </c>
      <c r="E25" s="7">
        <v>0.72899999999999998</v>
      </c>
      <c r="F25" s="7">
        <v>0.91800000000000004</v>
      </c>
      <c r="G25" s="7">
        <v>0.94699999999999995</v>
      </c>
      <c r="H25" s="7">
        <v>0.93700000000000006</v>
      </c>
      <c r="I25" s="7">
        <v>0.81399999999999995</v>
      </c>
      <c r="J25" s="7">
        <v>0.75800000000000001</v>
      </c>
      <c r="L25" s="10"/>
      <c r="M25" s="10"/>
      <c r="N25" s="10"/>
      <c r="O25" s="10"/>
      <c r="P25" s="10"/>
      <c r="R25" s="6" t="s">
        <v>13</v>
      </c>
      <c r="S25" s="10" cm="1">
        <f t="array" ref="S25">AverageSkip($B$3:$Z$3, 3)</f>
        <v>27.397111111111112</v>
      </c>
      <c r="T25" s="10" cm="1">
        <f t="array" ref="T25">AverageSkip($C$3:$AA$3, 3)</f>
        <v>0.85855555555555563</v>
      </c>
      <c r="U25" s="10" cm="1">
        <f t="array" ref="U25">AverageSkip($D$3:$AB$3, 3)</f>
        <v>8.511111111111111E-2</v>
      </c>
      <c r="V25" s="49" t="s">
        <v>49</v>
      </c>
      <c r="W25" s="41" t="s">
        <v>49</v>
      </c>
      <c r="X25" s="41" t="s">
        <v>49</v>
      </c>
      <c r="AA25" s="6" t="s">
        <v>13</v>
      </c>
      <c r="AB25" s="10" cm="1">
        <f t="array" ref="AB25">AverageSkip($B$3:$Z$3, 3)</f>
        <v>27.397111111111112</v>
      </c>
      <c r="AC25" s="10" cm="1">
        <f t="array" ref="AC25">AverageSkip($C$3:$AA$3, 3)</f>
        <v>0.85855555555555563</v>
      </c>
      <c r="AD25" s="10" cm="1">
        <f t="array" ref="AD25">AverageSkip($D$3:$AB$3, 3)</f>
        <v>8.511111111111111E-2</v>
      </c>
      <c r="AE25" s="41" t="s">
        <v>49</v>
      </c>
      <c r="AF25" s="41" t="s">
        <v>49</v>
      </c>
      <c r="AG25" s="51" t="s">
        <v>49</v>
      </c>
    </row>
    <row r="26" spans="1:39" ht="15.75" customHeight="1" x14ac:dyDescent="0.25">
      <c r="A26" s="11" t="s">
        <v>14</v>
      </c>
      <c r="B26" s="10">
        <v>0.96699999999999997</v>
      </c>
      <c r="C26" s="10">
        <v>0.96399999999999997</v>
      </c>
      <c r="D26" s="15">
        <v>0.95299999999999996</v>
      </c>
      <c r="E26" s="10">
        <v>0.96899999999999997</v>
      </c>
      <c r="F26" s="10">
        <v>0.95099999999999996</v>
      </c>
      <c r="G26" s="10">
        <v>0.95099999999999996</v>
      </c>
      <c r="H26" s="10">
        <v>0.95799999999999996</v>
      </c>
      <c r="I26" s="10">
        <v>0.96199999999999997</v>
      </c>
      <c r="J26" s="10">
        <v>0.96299999999999997</v>
      </c>
      <c r="L26" s="10"/>
      <c r="M26" s="10"/>
      <c r="N26" s="10"/>
      <c r="O26" s="10"/>
      <c r="P26" s="10"/>
      <c r="R26" s="11" t="s">
        <v>19</v>
      </c>
      <c r="S26" s="10" cm="1">
        <f t="array" ref="S26">AverageSkip($B$9:$Z$9, 3)</f>
        <v>27.027111111111111</v>
      </c>
      <c r="T26" s="10" cm="1">
        <f t="array" ref="T26">AverageSkip($C$9:$AA$9, 3)</f>
        <v>0.84611111111111104</v>
      </c>
      <c r="U26" s="10" cm="1">
        <f t="array" ref="U26">AverageSkip($D$9:$AB$9, 3)</f>
        <v>9.7333333333333341E-2</v>
      </c>
      <c r="V26" s="53">
        <f xml:space="preserve"> ($S$25-S26)/$S$25*100</f>
        <v>1.3505073527622575</v>
      </c>
      <c r="W26" s="53">
        <f xml:space="preserve"> ($T$25-T26)/$T$25*100</f>
        <v>1.4494629222208013</v>
      </c>
      <c r="X26" s="53">
        <f xml:space="preserve"> (U26-$U$25)/$U$25*100</f>
        <v>14.360313315926904</v>
      </c>
      <c r="AA26" s="11" t="s">
        <v>29</v>
      </c>
      <c r="AB26" s="10" cm="1">
        <f t="array" ref="AB26">AverageSkip($B$18:$Z$18, 3)</f>
        <v>25.527444444444441</v>
      </c>
      <c r="AC26" s="10" cm="1">
        <f t="array" ref="AC26">AverageSkip($C$18:$AA$18, 3)</f>
        <v>0.75177777777777788</v>
      </c>
      <c r="AD26" s="10" cm="1">
        <f t="array" ref="AD26">AverageSkip($D$18:$AB$18, 3)</f>
        <v>0.19522222222222224</v>
      </c>
      <c r="AE26" s="10">
        <f xml:space="preserve"> ($AB$25-AB26)/$AB$25*100</f>
        <v>6.8243204879671158</v>
      </c>
      <c r="AF26" s="10">
        <f xml:space="preserve"> ($AC$25-AC26)/$AC$25*100</f>
        <v>12.43690953798369</v>
      </c>
      <c r="AG26" s="53">
        <f xml:space="preserve"> (AD26-$AD$25)/$AD$25*100</f>
        <v>129.37336814621412</v>
      </c>
    </row>
    <row r="27" spans="1:39" ht="15.75" customHeight="1" thickBot="1" x14ac:dyDescent="0.3">
      <c r="A27" s="11" t="s">
        <v>15</v>
      </c>
      <c r="B27" s="10">
        <v>0.90900000000000003</v>
      </c>
      <c r="C27" s="10">
        <v>0.92100000000000004</v>
      </c>
      <c r="D27" s="15">
        <v>0.90500000000000003</v>
      </c>
      <c r="E27" s="10">
        <v>0.91400000000000003</v>
      </c>
      <c r="F27" s="10">
        <v>0.88300000000000001</v>
      </c>
      <c r="G27" s="39">
        <v>0.88400000000000001</v>
      </c>
      <c r="H27" s="10">
        <v>0.92200000000000004</v>
      </c>
      <c r="I27" s="10">
        <v>0.91</v>
      </c>
      <c r="J27" s="10">
        <v>0.90300000000000002</v>
      </c>
      <c r="L27" s="10"/>
      <c r="M27" s="10"/>
      <c r="N27" s="10"/>
      <c r="O27" s="10"/>
      <c r="P27" s="10"/>
      <c r="R27" s="11" t="s">
        <v>20</v>
      </c>
      <c r="S27" s="10" cm="1">
        <f t="array" ref="S27">AverageSkip($B$10:$Z$10, 3)</f>
        <v>26.454000000000001</v>
      </c>
      <c r="T27" s="10" cm="1">
        <f t="array" ref="T27">AverageSkip($C$10:$AA$10, 3)</f>
        <v>0.82133333333333336</v>
      </c>
      <c r="U27" s="10" cm="1">
        <f t="array" ref="U27">AverageSkip($D$10:$AB$10, 3)</f>
        <v>0.13377777777777777</v>
      </c>
      <c r="V27" s="53">
        <f xml:space="preserve"> ($S$25-S27)/$S$25*100</f>
        <v>3.4423742973711757</v>
      </c>
      <c r="W27" s="53">
        <f xml:space="preserve"> ($T$25-T27)/$T$25*100</f>
        <v>4.3354471334282429</v>
      </c>
      <c r="X27" s="53">
        <f xml:space="preserve"> (U27-$U$25)/$U$25*100</f>
        <v>57.180156657963444</v>
      </c>
      <c r="AA27" s="11" t="s">
        <v>30</v>
      </c>
      <c r="AB27" s="10" cm="1">
        <f t="array" ref="AB27">AverageSkip($B$19:$Z$19, 3)</f>
        <v>23.781777777777776</v>
      </c>
      <c r="AC27" s="10" cm="1">
        <f t="array" ref="AC27">AverageSkip($C$19:$AA$19, 3)</f>
        <v>0.65211111111111109</v>
      </c>
      <c r="AD27" s="10" cm="1">
        <f t="array" ref="AD27">AverageSkip($D$19:$AB$19, 3)</f>
        <v>0.32588888888888884</v>
      </c>
      <c r="AE27" s="10">
        <f xml:space="preserve"> ($AB$25-AB27)/$AB$25*100</f>
        <v>13.19603851176524</v>
      </c>
      <c r="AF27" s="10">
        <f xml:space="preserve"> ($AC$25-AC27)/$AC$25*100</f>
        <v>24.045554548984089</v>
      </c>
      <c r="AG27" s="53">
        <f xml:space="preserve"> (AD27-$AD$25)/$AD$25*100</f>
        <v>282.89817232375975</v>
      </c>
      <c r="AJ27" s="71" t="s">
        <v>90</v>
      </c>
      <c r="AK27" s="76" t="s">
        <v>7</v>
      </c>
      <c r="AL27" s="77"/>
      <c r="AM27" s="78"/>
    </row>
    <row r="28" spans="1:39" ht="15.75" customHeight="1" thickBot="1" x14ac:dyDescent="0.3">
      <c r="A28" s="11" t="s">
        <v>16</v>
      </c>
      <c r="B28" s="10">
        <v>0.871</v>
      </c>
      <c r="C28" s="17">
        <v>0.88900000000000001</v>
      </c>
      <c r="D28" s="15">
        <v>0.875</v>
      </c>
      <c r="E28" s="10">
        <v>0.877</v>
      </c>
      <c r="F28" s="39">
        <v>0.84</v>
      </c>
      <c r="G28" s="39">
        <v>0.83799999999999997</v>
      </c>
      <c r="H28" s="17">
        <v>0.89800000000000002</v>
      </c>
      <c r="I28" s="10">
        <v>0.88500000000000001</v>
      </c>
      <c r="J28" s="10">
        <v>0.86399999999999999</v>
      </c>
      <c r="L28" s="10"/>
      <c r="M28" s="10"/>
      <c r="N28" s="10"/>
      <c r="O28" s="10"/>
      <c r="P28" s="10"/>
      <c r="R28" s="11" t="s">
        <v>21</v>
      </c>
      <c r="S28" s="10" cm="1">
        <f t="array" ref="S28">AverageSkip($B$11:$Z$11, 3)</f>
        <v>25.623666666666665</v>
      </c>
      <c r="T28" s="10" cm="1">
        <f t="array" ref="T28">AverageSkip($C$11:$AA$11, 3)</f>
        <v>0.78744444444444428</v>
      </c>
      <c r="U28" s="10" cm="1">
        <f t="array" ref="U28">AverageSkip($D$11:$AB$11, 3)</f>
        <v>0.1728888888888889</v>
      </c>
      <c r="V28" s="53">
        <f xml:space="preserve"> ($S$25-S28)/$S$25*100</f>
        <v>6.4731074646962057</v>
      </c>
      <c r="W28" s="53">
        <f xml:space="preserve"> ($T$25-T28)/$T$25*100</f>
        <v>8.282645269833079</v>
      </c>
      <c r="X28" s="53">
        <f xml:space="preserve"> (U28-$U$25)/$U$25*100</f>
        <v>103.13315926892952</v>
      </c>
      <c r="AA28" s="11" t="s">
        <v>31</v>
      </c>
      <c r="AB28" s="10" cm="1">
        <f t="array" ref="AB28">AverageSkip($B$20:$Z$20, 3)</f>
        <v>21.542249999999999</v>
      </c>
      <c r="AC28" s="10" cm="1">
        <f t="array" ref="AC28">AverageSkip($C$20:$AA$20, 3)</f>
        <v>0.54275000000000007</v>
      </c>
      <c r="AD28" s="10" cm="1">
        <f t="array" ref="AD28">AverageSkip($D$20:$AB$20, 3)</f>
        <v>0.43512500000000004</v>
      </c>
      <c r="AE28" s="10">
        <f xml:space="preserve"> ($AB$25-AB28)/$AB$25*100</f>
        <v>21.370359405290102</v>
      </c>
      <c r="AF28" s="10">
        <f xml:space="preserve"> ($AC$25-AC28)/$AC$25*100</f>
        <v>36.783357059660929</v>
      </c>
      <c r="AG28" s="53">
        <f xml:space="preserve"> (AD28-$AD$25)/$AD$25*100</f>
        <v>411.24347258485648</v>
      </c>
      <c r="AJ28" s="71" t="s">
        <v>69</v>
      </c>
      <c r="AK28" s="4" t="s">
        <v>10</v>
      </c>
      <c r="AL28" s="4" t="s">
        <v>11</v>
      </c>
      <c r="AM28" s="5" t="s">
        <v>12</v>
      </c>
    </row>
    <row r="29" spans="1:39" ht="15.75" customHeight="1" thickBot="1" x14ac:dyDescent="0.3">
      <c r="A29" s="11" t="s">
        <v>17</v>
      </c>
      <c r="B29" s="10">
        <v>0.82699999999999996</v>
      </c>
      <c r="C29" s="17">
        <v>0.84699999999999998</v>
      </c>
      <c r="D29" s="18">
        <v>0.83699999999999997</v>
      </c>
      <c r="E29" s="10">
        <v>0.83099999999999996</v>
      </c>
      <c r="F29" s="17">
        <v>0.78900000000000003</v>
      </c>
      <c r="G29" s="17">
        <v>0.78100000000000003</v>
      </c>
      <c r="H29" s="17">
        <v>0.86499999999999999</v>
      </c>
      <c r="I29" s="10">
        <v>0.82599999999999996</v>
      </c>
      <c r="J29" s="10">
        <v>0.81799999999999995</v>
      </c>
      <c r="L29" s="10"/>
      <c r="M29" s="10"/>
      <c r="N29" s="10"/>
      <c r="O29" s="10"/>
      <c r="P29" s="10"/>
      <c r="R29" s="11" t="s">
        <v>22</v>
      </c>
      <c r="S29" s="10" cm="1">
        <f t="array" ref="S29">AverageSkip($B$12:$Z$12, 3)</f>
        <v>25.36577777777778</v>
      </c>
      <c r="T29" s="10" cm="1">
        <f t="array" ref="T29">AverageSkip($C$12:$AA$12, 3)</f>
        <v>0.76688888888888895</v>
      </c>
      <c r="U29" s="10" cm="1">
        <f t="array" ref="U29">AverageSkip($D$12:$AB$12, 3)</f>
        <v>0.218</v>
      </c>
      <c r="V29" s="53">
        <f xml:space="preserve"> ($S$25-S29)/$S$25*100</f>
        <v>7.4144070339938484</v>
      </c>
      <c r="W29" s="53">
        <f xml:space="preserve"> ($T$25-T29)/$T$25*100</f>
        <v>10.67684741814417</v>
      </c>
      <c r="X29" s="53">
        <f xml:space="preserve"> (U29-$U$25)/$U$25*100</f>
        <v>156.13577023498695</v>
      </c>
      <c r="AA29" s="52" t="s">
        <v>50</v>
      </c>
      <c r="AB29" s="10" cm="1">
        <f t="array" ref="AB29">AverageSkip($B$21:$Z$21, 3)</f>
        <v>20.419500000000003</v>
      </c>
      <c r="AC29" s="10" cm="1">
        <f t="array" ref="AC29">AverageSkip($C$21:$AA$21, 3)</f>
        <v>0.48116666666666674</v>
      </c>
      <c r="AD29" s="10" cm="1">
        <f t="array" ref="AD29">AverageSkip($D$21:$AB$21, 3)</f>
        <v>0.5568333333333334</v>
      </c>
      <c r="AE29" s="10">
        <f xml:space="preserve"> ($AB$25-AB29)/$AB$25*100</f>
        <v>25.468419216949062</v>
      </c>
      <c r="AF29" s="10">
        <f xml:space="preserve"> ($AC$25-AC29)/$AC$25*100</f>
        <v>43.956257279668691</v>
      </c>
      <c r="AG29" s="53">
        <f xml:space="preserve"> (AD29-$AD$25)/$AD$25*100</f>
        <v>554.24281984334209</v>
      </c>
      <c r="AJ29" s="71" t="s">
        <v>80</v>
      </c>
      <c r="AK29" s="8">
        <v>27.091000000000001</v>
      </c>
      <c r="AL29" s="7">
        <v>0.81399999999999995</v>
      </c>
      <c r="AM29" s="9">
        <v>0.105</v>
      </c>
    </row>
    <row r="30" spans="1:39" ht="15.75" customHeight="1" thickBot="1" x14ac:dyDescent="0.3">
      <c r="A30" s="20" t="s">
        <v>18</v>
      </c>
      <c r="B30" s="21">
        <v>0.67800000000000005</v>
      </c>
      <c r="C30" s="23">
        <v>0.6</v>
      </c>
      <c r="D30" s="26">
        <v>0.71199999999999997</v>
      </c>
      <c r="E30" s="21">
        <v>0.69499999999999995</v>
      </c>
      <c r="F30" s="23">
        <v>0.625</v>
      </c>
      <c r="G30" s="23">
        <v>0.63600000000000001</v>
      </c>
      <c r="H30" s="23">
        <v>0.76</v>
      </c>
      <c r="I30" s="21">
        <v>0.66100000000000003</v>
      </c>
      <c r="J30" s="21">
        <v>0.69299999999999995</v>
      </c>
      <c r="L30" s="10"/>
      <c r="M30" s="10"/>
      <c r="N30" s="10"/>
      <c r="O30" s="10"/>
      <c r="P30" s="10"/>
      <c r="R30" s="6" t="s">
        <v>23</v>
      </c>
      <c r="S30" s="10" cm="1">
        <f t="array" ref="S30">AverageSkip($B$13:$Z$13, 3)</f>
        <v>22.610555555555553</v>
      </c>
      <c r="T30" s="10" cm="1">
        <f t="array" ref="T30">AverageSkip($C$13:$AA$13, 3)</f>
        <v>0.61655555555555552</v>
      </c>
      <c r="U30" s="10" cm="1">
        <f t="array" ref="U30">AverageSkip($D$13:$AB$13, 3)</f>
        <v>0.36677777777777781</v>
      </c>
      <c r="V30" s="53">
        <f xml:space="preserve"> ($S$25-S30)/$S$25*100</f>
        <v>17.471022897791343</v>
      </c>
      <c r="W30" s="53">
        <f xml:space="preserve"> ($T$25-T30)/$T$25*100</f>
        <v>28.186877183900616</v>
      </c>
      <c r="X30" s="53">
        <f xml:space="preserve"> (U30-$U$25)/$U$25*100</f>
        <v>330.93994778067895</v>
      </c>
      <c r="AA30" s="10"/>
      <c r="AB30" s="10"/>
      <c r="AC30" s="10"/>
      <c r="AD30" s="10"/>
      <c r="AE30" s="10"/>
      <c r="AF30" s="10"/>
      <c r="AG30" s="59"/>
      <c r="AJ30" s="72" t="s">
        <v>81</v>
      </c>
      <c r="AK30" s="12">
        <v>26.492999999999999</v>
      </c>
      <c r="AL30" s="10">
        <v>0.78900000000000003</v>
      </c>
      <c r="AM30" s="13">
        <v>0.129</v>
      </c>
    </row>
    <row r="31" spans="1:39" ht="15.75" customHeight="1" thickBot="1" x14ac:dyDescent="0.3">
      <c r="A31" s="11" t="s">
        <v>19</v>
      </c>
      <c r="B31" s="10">
        <v>0.755</v>
      </c>
      <c r="C31" s="10">
        <v>0.93700000000000006</v>
      </c>
      <c r="D31" s="15">
        <v>0.9</v>
      </c>
      <c r="E31" s="10">
        <v>0.72199999999999998</v>
      </c>
      <c r="F31" s="10">
        <v>0.90500000000000003</v>
      </c>
      <c r="G31" s="10">
        <v>0.93500000000000005</v>
      </c>
      <c r="H31" s="10">
        <v>0.92500000000000004</v>
      </c>
      <c r="I31" s="10">
        <v>0.78900000000000003</v>
      </c>
      <c r="J31" s="10">
        <v>0.747</v>
      </c>
      <c r="L31" s="10"/>
      <c r="M31" s="10"/>
      <c r="N31" s="10"/>
      <c r="O31" s="10"/>
      <c r="P31" s="10"/>
      <c r="Q31" s="10"/>
      <c r="R31" s="10"/>
      <c r="T31" s="10"/>
      <c r="U31" s="10"/>
      <c r="AA31" s="10"/>
      <c r="AB31" s="10"/>
      <c r="AC31" s="10"/>
      <c r="AD31" s="10"/>
      <c r="AE31" s="10"/>
      <c r="AF31" s="10"/>
      <c r="AJ31" s="72" t="s">
        <v>82</v>
      </c>
      <c r="AK31" s="12">
        <v>25.992000000000001</v>
      </c>
      <c r="AL31" s="10">
        <v>0.76100000000000001</v>
      </c>
      <c r="AM31" s="13">
        <v>0.17199999999999999</v>
      </c>
    </row>
    <row r="32" spans="1:39" ht="15.75" customHeight="1" thickBot="1" x14ac:dyDescent="0.3">
      <c r="A32" s="11" t="s">
        <v>20</v>
      </c>
      <c r="B32" s="10">
        <v>0.73499999999999999</v>
      </c>
      <c r="C32" s="10">
        <v>0.90700000000000003</v>
      </c>
      <c r="D32" s="15">
        <v>0.877</v>
      </c>
      <c r="E32" s="10">
        <v>0.70399999999999996</v>
      </c>
      <c r="F32" s="10">
        <v>0.86899999999999999</v>
      </c>
      <c r="G32" s="39">
        <v>0.9</v>
      </c>
      <c r="H32" s="10">
        <v>0.91500000000000004</v>
      </c>
      <c r="I32" s="10">
        <v>0.76100000000000001</v>
      </c>
      <c r="J32" s="10">
        <v>0.72399999999999998</v>
      </c>
      <c r="L32" s="10"/>
      <c r="M32" s="10"/>
      <c r="N32" s="10"/>
      <c r="O32" s="10"/>
      <c r="P32" s="10"/>
      <c r="Q32" s="10"/>
      <c r="R32" s="10"/>
      <c r="T32" s="10"/>
      <c r="U32" s="10"/>
      <c r="AA32" s="10"/>
      <c r="AB32" s="10"/>
      <c r="AC32" s="10"/>
      <c r="AD32" s="10"/>
      <c r="AE32" s="10"/>
      <c r="AF32" s="10"/>
      <c r="AJ32" s="72" t="s">
        <v>83</v>
      </c>
      <c r="AK32" s="73">
        <v>21.344999999999999</v>
      </c>
      <c r="AL32" s="74">
        <v>0.60599999999999998</v>
      </c>
      <c r="AM32" s="44">
        <v>0.25800000000000001</v>
      </c>
    </row>
    <row r="33" spans="1:39" ht="15.75" customHeight="1" x14ac:dyDescent="0.25">
      <c r="A33" s="11" t="s">
        <v>21</v>
      </c>
      <c r="B33" s="10">
        <v>0.71299999999999997</v>
      </c>
      <c r="C33" s="17">
        <v>0.9</v>
      </c>
      <c r="D33" s="15">
        <v>0.86299999999999999</v>
      </c>
      <c r="E33" s="10">
        <v>0.69099999999999995</v>
      </c>
      <c r="F33" s="39">
        <v>0.84199999999999997</v>
      </c>
      <c r="G33" s="39">
        <v>0.86699999999999999</v>
      </c>
      <c r="H33" s="17">
        <v>0.90100000000000002</v>
      </c>
      <c r="I33" s="29">
        <v>0.64200000000000002</v>
      </c>
      <c r="J33" s="10">
        <v>0.70399999999999996</v>
      </c>
      <c r="L33" s="10"/>
      <c r="M33" s="10"/>
      <c r="N33" s="10"/>
      <c r="O33" s="10"/>
      <c r="P33" s="10"/>
      <c r="Q33" s="10"/>
      <c r="R33" s="10"/>
      <c r="T33" s="10"/>
      <c r="U33" s="10"/>
      <c r="AA33" s="10"/>
      <c r="AB33" s="10"/>
      <c r="AC33" s="10"/>
      <c r="AD33" s="10"/>
      <c r="AE33" s="10"/>
      <c r="AF33" s="10"/>
      <c r="AJ33" s="72" t="s">
        <v>84</v>
      </c>
      <c r="AK33" s="30">
        <v>24.87</v>
      </c>
      <c r="AL33" s="31">
        <v>0.69799999999999995</v>
      </c>
      <c r="AM33" s="13">
        <v>0.26600000000000001</v>
      </c>
    </row>
    <row r="34" spans="1:39" ht="15.75" customHeight="1" thickBot="1" x14ac:dyDescent="0.3">
      <c r="A34" s="11" t="s">
        <v>22</v>
      </c>
      <c r="B34" s="10">
        <v>0.67</v>
      </c>
      <c r="C34" s="17">
        <v>0.86799999999999999</v>
      </c>
      <c r="D34" s="18">
        <v>0.83799999999999997</v>
      </c>
      <c r="E34" s="10">
        <v>0.64700000000000002</v>
      </c>
      <c r="F34" s="17">
        <v>0.80100000000000005</v>
      </c>
      <c r="G34" s="17">
        <v>0.81699999999999995</v>
      </c>
      <c r="H34" s="17">
        <v>0.88700000000000001</v>
      </c>
      <c r="I34" s="31">
        <v>0.69799999999999995</v>
      </c>
      <c r="J34" s="10">
        <v>0.67600000000000005</v>
      </c>
      <c r="L34" s="10"/>
      <c r="M34" s="10"/>
      <c r="N34" s="10"/>
      <c r="O34" s="10"/>
      <c r="P34" s="10"/>
      <c r="Q34" s="10"/>
      <c r="R34" s="10"/>
      <c r="AJ34" s="71" t="s">
        <v>85</v>
      </c>
      <c r="AK34" s="8">
        <v>22.14</v>
      </c>
      <c r="AL34" s="7">
        <v>0.501</v>
      </c>
      <c r="AM34" s="9">
        <v>0.40100000000000002</v>
      </c>
    </row>
    <row r="35" spans="1:39" ht="15.75" customHeight="1" thickBot="1" x14ac:dyDescent="0.3">
      <c r="A35" s="6" t="s">
        <v>23</v>
      </c>
      <c r="B35" s="7">
        <v>0.55000000000000004</v>
      </c>
      <c r="C35" s="32">
        <v>0.61499999999999999</v>
      </c>
      <c r="D35" s="34">
        <v>0.747</v>
      </c>
      <c r="E35" s="7">
        <v>0.48299999999999998</v>
      </c>
      <c r="F35" s="32">
        <v>0.67100000000000004</v>
      </c>
      <c r="G35" s="32">
        <v>0.67300000000000004</v>
      </c>
      <c r="H35" s="32">
        <v>0.80500000000000005</v>
      </c>
      <c r="I35" s="7">
        <v>0.501</v>
      </c>
      <c r="J35" s="7">
        <v>0.504</v>
      </c>
      <c r="L35" s="10"/>
      <c r="M35" s="10"/>
      <c r="N35" s="10"/>
      <c r="O35" s="10"/>
      <c r="P35" s="10"/>
      <c r="Q35" s="10"/>
      <c r="AJ35" s="72" t="s">
        <v>86</v>
      </c>
      <c r="AK35" s="75">
        <v>21.992000000000001</v>
      </c>
      <c r="AL35" s="45">
        <v>0.55400000000000005</v>
      </c>
      <c r="AM35" s="46">
        <v>0.28999999999999998</v>
      </c>
    </row>
    <row r="36" spans="1:39" ht="15.75" customHeight="1" thickBot="1" x14ac:dyDescent="0.3">
      <c r="Q36" s="3" t="s">
        <v>9</v>
      </c>
      <c r="R36" s="43" t="s">
        <v>46</v>
      </c>
      <c r="S36" s="43" t="s">
        <v>47</v>
      </c>
      <c r="T36" s="43" t="s">
        <v>48</v>
      </c>
      <c r="U36" s="43"/>
      <c r="AA36" s="43" t="s">
        <v>46</v>
      </c>
      <c r="AB36" s="43" t="s">
        <v>47</v>
      </c>
      <c r="AC36" s="43" t="s">
        <v>48</v>
      </c>
      <c r="AD36" s="43"/>
      <c r="AJ36" s="72" t="s">
        <v>87</v>
      </c>
      <c r="AK36" s="12">
        <v>22.126000000000001</v>
      </c>
      <c r="AL36" s="10">
        <v>0.48599999999999999</v>
      </c>
      <c r="AM36" s="13">
        <v>0.41299999999999998</v>
      </c>
    </row>
    <row r="37" spans="1:39" ht="15.75" customHeight="1" thickTop="1" x14ac:dyDescent="0.25">
      <c r="B37" s="38"/>
      <c r="C37" s="38"/>
      <c r="D37" s="38"/>
      <c r="E37" s="38"/>
      <c r="F37" s="38"/>
      <c r="H37" s="38" t="s">
        <v>34</v>
      </c>
      <c r="I37" s="38" t="s">
        <v>37</v>
      </c>
      <c r="J37" s="38" t="s">
        <v>38</v>
      </c>
      <c r="K37" s="38" t="s">
        <v>41</v>
      </c>
      <c r="L37" s="38" t="s">
        <v>42</v>
      </c>
      <c r="Q37" s="11" t="s">
        <v>14</v>
      </c>
      <c r="R37" s="10" cm="1">
        <f t="array" ref="R37">AverageSkip($B$4:$Z$4, 3)</f>
        <v>35.834555555555553</v>
      </c>
      <c r="S37" s="10" cm="1">
        <f t="array" ref="S37">AverageSkip($C$4:$AA$4, 3)</f>
        <v>0.95977777777777762</v>
      </c>
      <c r="T37" s="10" cm="1">
        <f t="array" ref="T37">AverageSkip($D$4:$AB$4, 3)</f>
        <v>1.1666666666666667E-2</v>
      </c>
      <c r="U37" s="10"/>
      <c r="Z37" s="11" t="s">
        <v>24</v>
      </c>
      <c r="AA37" s="10" cm="1">
        <f t="array" ref="AA37">AverageSkip($B$14:$Z$14, 3)</f>
        <v>30.780888888888892</v>
      </c>
      <c r="AB37" s="10" cm="1">
        <f t="array" ref="AB37">AverageSkip($C$14:$AA$14, 3)</f>
        <v>0.87077777777777765</v>
      </c>
      <c r="AC37" s="10" cm="1">
        <f t="array" ref="AC37">AverageSkip($D$14:$AB$14, 3)</f>
        <v>9.9111111111111108E-2</v>
      </c>
      <c r="AD37" s="10"/>
      <c r="AJ37" s="72" t="s">
        <v>88</v>
      </c>
      <c r="AK37" s="12" t="s">
        <v>32</v>
      </c>
      <c r="AL37" s="10" t="s">
        <v>32</v>
      </c>
      <c r="AM37" s="13" t="s">
        <v>32</v>
      </c>
    </row>
    <row r="38" spans="1:39" ht="15.75" customHeight="1" thickBot="1" x14ac:dyDescent="0.3">
      <c r="A38" s="57" t="s">
        <v>58</v>
      </c>
      <c r="B38" s="38" t="s">
        <v>38</v>
      </c>
      <c r="C38" s="38" t="s">
        <v>35</v>
      </c>
      <c r="D38" s="38" t="s">
        <v>36</v>
      </c>
      <c r="E38" s="38" t="s">
        <v>39</v>
      </c>
      <c r="F38" s="38" t="s">
        <v>40</v>
      </c>
      <c r="H38" s="4" t="s">
        <v>11</v>
      </c>
      <c r="I38" s="4" t="s">
        <v>11</v>
      </c>
      <c r="J38" s="4" t="s">
        <v>11</v>
      </c>
      <c r="K38" s="4" t="s">
        <v>11</v>
      </c>
      <c r="L38" s="4" t="s">
        <v>11</v>
      </c>
      <c r="Q38" s="11" t="s">
        <v>15</v>
      </c>
      <c r="R38" s="10" cm="1">
        <f t="array" ref="R38">AverageSkip($B$5:$Z$5, 3)</f>
        <v>31.287444444444443</v>
      </c>
      <c r="S38" s="10" cm="1">
        <f t="array" ref="S38">AverageSkip($C$5:$AA$5, 3)</f>
        <v>0.90566666666666662</v>
      </c>
      <c r="T38" s="10" cm="1">
        <f t="array" ref="T38">AverageSkip($D$5:$AB$5, 3)</f>
        <v>4.6111111111111117E-2</v>
      </c>
      <c r="U38" s="10"/>
      <c r="Z38" s="11" t="s">
        <v>25</v>
      </c>
      <c r="AA38" s="10" cm="1">
        <f t="array" ref="AA38">AverageSkip($B$15:$Z$15, 3)</f>
        <v>28.334888888888891</v>
      </c>
      <c r="AB38" s="10" cm="1">
        <f t="array" ref="AB38">AverageSkip($C$15:$AA$15, 3)</f>
        <v>0.77722222222222215</v>
      </c>
      <c r="AC38" s="10" cm="1">
        <f t="array" ref="AC38">AverageSkip($D$15:$AB$15, 3)</f>
        <v>0.21099999999999999</v>
      </c>
      <c r="AD38" s="10"/>
      <c r="AJ38" s="52" t="s">
        <v>89</v>
      </c>
      <c r="AK38" s="22" t="s">
        <v>32</v>
      </c>
      <c r="AL38" s="21" t="s">
        <v>32</v>
      </c>
      <c r="AM38" s="24" t="s">
        <v>32</v>
      </c>
    </row>
    <row r="39" spans="1:39" ht="15.75" customHeight="1" thickTop="1" thickBot="1" x14ac:dyDescent="0.3">
      <c r="A39" s="6"/>
      <c r="B39" s="4" t="s">
        <v>11</v>
      </c>
      <c r="C39" s="4" t="s">
        <v>11</v>
      </c>
      <c r="D39" s="4" t="s">
        <v>11</v>
      </c>
      <c r="E39" s="4" t="s">
        <v>11</v>
      </c>
      <c r="F39" s="4" t="s">
        <v>11</v>
      </c>
      <c r="H39" s="7">
        <v>0.76700000000000002</v>
      </c>
      <c r="I39" s="7">
        <v>0.72899999999999998</v>
      </c>
      <c r="J39" s="7">
        <v>0.91800000000000004</v>
      </c>
      <c r="K39" s="7">
        <v>0.81399999999999995</v>
      </c>
      <c r="L39" s="7">
        <v>0.75800000000000001</v>
      </c>
      <c r="Q39" s="11" t="s">
        <v>16</v>
      </c>
      <c r="R39" s="10" cm="1">
        <f t="array" ref="R39">AverageSkip($B$6:$Z$6, 3)</f>
        <v>29.678666666666668</v>
      </c>
      <c r="S39" s="10" cm="1">
        <f t="array" ref="S39">AverageSkip($C$6:$AA$6, 3)</f>
        <v>0.87077777777777765</v>
      </c>
      <c r="T39" s="10" cm="1">
        <f t="array" ref="T39">AverageSkip($D$6:$AB$6, 3)</f>
        <v>8.4000000000000005E-2</v>
      </c>
      <c r="U39" s="10"/>
      <c r="Z39" s="11" t="s">
        <v>26</v>
      </c>
      <c r="AA39" s="10" cm="1">
        <f t="array" ref="AA39">AverageSkip($B$16:$Z$16, 3)</f>
        <v>25.730749999999997</v>
      </c>
      <c r="AB39" s="10" cm="1">
        <f t="array" ref="AB39">AverageSkip($C$16:$AA$16, 3)</f>
        <v>0.67212499999999997</v>
      </c>
      <c r="AC39" s="10" cm="1">
        <f t="array" ref="AC39">AverageSkip($D$16:$AB$16, 3)</f>
        <v>0.34462500000000007</v>
      </c>
      <c r="AD39" s="10"/>
    </row>
    <row r="40" spans="1:39" ht="15.75" customHeight="1" x14ac:dyDescent="0.25">
      <c r="A40" s="11" t="s">
        <v>14</v>
      </c>
      <c r="B40" s="10">
        <v>0.95099999999999996</v>
      </c>
      <c r="C40" s="10">
        <v>0.96399999999999997</v>
      </c>
      <c r="D40" s="15">
        <v>0.95299999999999996</v>
      </c>
      <c r="E40" s="10">
        <v>0.95099999999999996</v>
      </c>
      <c r="F40" s="10">
        <v>0.95799999999999996</v>
      </c>
      <c r="G40" s="40">
        <f t="shared" ref="G40:G49" si="0">AVERAGE(B40:F40)</f>
        <v>0.95540000000000003</v>
      </c>
      <c r="H40" s="10">
        <v>0.96699999999999997</v>
      </c>
      <c r="I40" s="10">
        <v>0.96899999999999997</v>
      </c>
      <c r="J40" s="10">
        <v>0.95099999999999996</v>
      </c>
      <c r="K40" s="10">
        <v>0.96199999999999997</v>
      </c>
      <c r="L40" s="10">
        <v>0.96299999999999997</v>
      </c>
      <c r="M40" s="40">
        <f t="shared" ref="M40:M49" si="1">AVERAGE(H40:L40)</f>
        <v>0.96240000000000003</v>
      </c>
      <c r="Q40" s="11" t="s">
        <v>17</v>
      </c>
      <c r="R40" s="10" cm="1">
        <f t="array" ref="R40">AverageSkip($B$7:$Z$7, 3)</f>
        <v>28.069666666666663</v>
      </c>
      <c r="S40" s="10" cm="1">
        <f t="array" ref="S40">AverageSkip($C$7:$AA$7, 3)</f>
        <v>0.82455555555555549</v>
      </c>
      <c r="T40" s="10" cm="1">
        <f t="array" ref="T40">AverageSkip($D$7:$AB$7, 3)</f>
        <v>0.14911111111111111</v>
      </c>
      <c r="U40" s="10"/>
      <c r="Z40" s="20" t="s">
        <v>28</v>
      </c>
      <c r="AA40" s="10" cm="1">
        <f t="array" ref="AA40">AverageSkip($B$17:$Z$17, 3)</f>
        <v>24.022333333333336</v>
      </c>
      <c r="AB40" s="10" cm="1">
        <f t="array" ref="AB40">AverageSkip($C$17:$AA$17, 3)</f>
        <v>0.57966666666666666</v>
      </c>
      <c r="AC40" s="10" cm="1">
        <f t="array" ref="AC40">AverageSkip($D$17:$AB$17, 3)</f>
        <v>0.45533333333333337</v>
      </c>
      <c r="AD40" s="58" t="s">
        <v>45</v>
      </c>
      <c r="AE40" s="54" t="s">
        <v>54</v>
      </c>
      <c r="AF40" s="55" t="s">
        <v>56</v>
      </c>
      <c r="AG40" s="54" t="s">
        <v>55</v>
      </c>
    </row>
    <row r="41" spans="1:39" ht="15.75" customHeight="1" x14ac:dyDescent="0.25">
      <c r="A41" s="11" t="s">
        <v>15</v>
      </c>
      <c r="B41" s="10">
        <v>0.88300000000000001</v>
      </c>
      <c r="C41" s="10">
        <v>0.92100000000000004</v>
      </c>
      <c r="D41" s="15">
        <v>0.90500000000000003</v>
      </c>
      <c r="E41" s="39">
        <v>0.88400000000000001</v>
      </c>
      <c r="F41" s="10">
        <v>0.92200000000000004</v>
      </c>
      <c r="G41" s="40">
        <f t="shared" si="0"/>
        <v>0.90299999999999991</v>
      </c>
      <c r="H41" s="10">
        <v>0.90900000000000003</v>
      </c>
      <c r="I41" s="10">
        <v>0.91400000000000003</v>
      </c>
      <c r="J41" s="10">
        <v>0.88300000000000001</v>
      </c>
      <c r="K41" s="10">
        <v>0.91</v>
      </c>
      <c r="L41" s="10">
        <v>0.90300000000000002</v>
      </c>
      <c r="M41" s="40">
        <f t="shared" si="1"/>
        <v>0.90380000000000005</v>
      </c>
      <c r="Q41" s="20" t="s">
        <v>18</v>
      </c>
      <c r="R41" s="10" cm="1">
        <f t="array" ref="R41">AverageSkip($B$8:$Z$8, 3)</f>
        <v>24.46211111111111</v>
      </c>
      <c r="S41" s="10" cm="1">
        <f t="array" ref="S41">AverageSkip($C$8:$AA$8, 3)</f>
        <v>0.67333333333333334</v>
      </c>
      <c r="T41" s="10" cm="1">
        <f t="array" ref="T41">AverageSkip($D$8:$AB$8, 3)</f>
        <v>0.34511111111111109</v>
      </c>
      <c r="U41" s="39" t="s">
        <v>57</v>
      </c>
      <c r="V41" s="54" t="s">
        <v>54</v>
      </c>
      <c r="W41" s="55" t="s">
        <v>56</v>
      </c>
      <c r="X41" s="54" t="s">
        <v>55</v>
      </c>
      <c r="Z41" s="11" t="s">
        <v>29</v>
      </c>
      <c r="AA41" s="10" cm="1">
        <f t="array" ref="AA41">AverageSkip($B$18:$Z$18, 3)</f>
        <v>25.527444444444441</v>
      </c>
      <c r="AB41" s="10" cm="1">
        <f t="array" ref="AB41">AverageSkip($C$18:$AA$18, 3)</f>
        <v>0.75177777777777788</v>
      </c>
      <c r="AC41" s="10" cm="1">
        <f t="array" ref="AC41">AverageSkip($D$18:$AB$18, 3)</f>
        <v>0.19522222222222224</v>
      </c>
      <c r="AD41" s="56">
        <v>27</v>
      </c>
      <c r="AE41" s="65">
        <f t="shared" ref="AE41:AF44" si="2" xml:space="preserve"> AA37 - AA41</f>
        <v>5.253444444444451</v>
      </c>
      <c r="AF41" s="65">
        <f t="shared" si="2"/>
        <v>0.11899999999999977</v>
      </c>
      <c r="AG41" s="65">
        <f xml:space="preserve"> AC41 - AC37</f>
        <v>9.6111111111111133E-2</v>
      </c>
    </row>
    <row r="42" spans="1:39" ht="15.75" customHeight="1" x14ac:dyDescent="0.25">
      <c r="A42" s="11" t="s">
        <v>16</v>
      </c>
      <c r="B42" s="39">
        <v>0.84</v>
      </c>
      <c r="C42" s="17">
        <v>0.88900000000000001</v>
      </c>
      <c r="D42" s="15">
        <v>0.875</v>
      </c>
      <c r="E42" s="39">
        <v>0.83799999999999997</v>
      </c>
      <c r="F42" s="17">
        <v>0.89800000000000002</v>
      </c>
      <c r="G42" s="40">
        <f t="shared" si="0"/>
        <v>0.86799999999999999</v>
      </c>
      <c r="H42" s="10">
        <v>0.871</v>
      </c>
      <c r="I42" s="10">
        <v>0.877</v>
      </c>
      <c r="J42" s="39">
        <v>0.84</v>
      </c>
      <c r="K42" s="10">
        <v>0.88500000000000001</v>
      </c>
      <c r="L42" s="10">
        <v>0.86399999999999999</v>
      </c>
      <c r="M42" s="40">
        <f t="shared" si="1"/>
        <v>0.86739999999999995</v>
      </c>
      <c r="Q42" s="11" t="s">
        <v>19</v>
      </c>
      <c r="R42" s="10" cm="1">
        <f t="array" ref="R42">AverageSkip($B$9:$Z$9, 3)</f>
        <v>27.027111111111111</v>
      </c>
      <c r="S42" s="10" cm="1">
        <f t="array" ref="S42">AverageSkip($C$9:$AA$9, 3)</f>
        <v>0.84611111111111104</v>
      </c>
      <c r="T42" s="10" cm="1">
        <f t="array" ref="T42">AverageSkip($D$9:$AB$9, 3)</f>
        <v>9.7333333333333341E-2</v>
      </c>
      <c r="U42" s="56">
        <v>90</v>
      </c>
      <c r="V42" s="53">
        <f t="shared" ref="V42:W46" si="3" xml:space="preserve"> R37 - R42</f>
        <v>8.8074444444444424</v>
      </c>
      <c r="W42" s="53">
        <f t="shared" si="3"/>
        <v>0.11366666666666658</v>
      </c>
      <c r="X42" s="53">
        <f xml:space="preserve"> T42 - T37</f>
        <v>8.5666666666666669E-2</v>
      </c>
      <c r="Z42" s="11" t="s">
        <v>30</v>
      </c>
      <c r="AA42" s="10" cm="1">
        <f t="array" ref="AA42">AverageSkip($B$19:$Z$19, 3)</f>
        <v>23.781777777777776</v>
      </c>
      <c r="AB42" s="10" cm="1">
        <f t="array" ref="AB42">AverageSkip($C$19:$AA$19, 3)</f>
        <v>0.65211111111111109</v>
      </c>
      <c r="AC42" s="10" cm="1">
        <f t="array" ref="AC42">AverageSkip($D$19:$AB$19, 3)</f>
        <v>0.32588888888888884</v>
      </c>
      <c r="AD42" s="56">
        <v>32</v>
      </c>
      <c r="AE42" s="65">
        <f t="shared" si="2"/>
        <v>4.5531111111111144</v>
      </c>
      <c r="AF42" s="65">
        <f t="shared" si="2"/>
        <v>0.12511111111111106</v>
      </c>
      <c r="AG42" s="65">
        <f xml:space="preserve"> AC42 - AC38</f>
        <v>0.11488888888888885</v>
      </c>
    </row>
    <row r="43" spans="1:39" ht="15.75" customHeight="1" x14ac:dyDescent="0.25">
      <c r="A43" s="11" t="s">
        <v>17</v>
      </c>
      <c r="B43" s="17">
        <v>0.78900000000000003</v>
      </c>
      <c r="C43" s="17">
        <v>0.84699999999999998</v>
      </c>
      <c r="D43" s="18">
        <v>0.83699999999999997</v>
      </c>
      <c r="E43" s="17">
        <v>0.78100000000000003</v>
      </c>
      <c r="F43" s="17">
        <v>0.86499999999999999</v>
      </c>
      <c r="G43" s="40">
        <f t="shared" si="0"/>
        <v>0.82379999999999998</v>
      </c>
      <c r="H43" s="10">
        <v>0.82699999999999996</v>
      </c>
      <c r="I43" s="10">
        <v>0.83099999999999996</v>
      </c>
      <c r="J43" s="17">
        <v>0.78900000000000003</v>
      </c>
      <c r="K43" s="10">
        <v>0.82599999999999996</v>
      </c>
      <c r="L43" s="10">
        <v>0.81799999999999995</v>
      </c>
      <c r="M43" s="40">
        <f t="shared" si="1"/>
        <v>0.81820000000000004</v>
      </c>
      <c r="Q43" s="11" t="s">
        <v>20</v>
      </c>
      <c r="R43" s="10" cm="1">
        <f t="array" ref="R43">AverageSkip($B$10:$Z$10, 3)</f>
        <v>26.454000000000001</v>
      </c>
      <c r="S43" s="10" cm="1">
        <f t="array" ref="S43">AverageSkip($C$10:$AA$10, 3)</f>
        <v>0.82133333333333336</v>
      </c>
      <c r="T43" s="10" cm="1">
        <f t="array" ref="T43">AverageSkip($D$10:$AB$10, 3)</f>
        <v>0.13377777777777777</v>
      </c>
      <c r="U43" s="56">
        <v>70</v>
      </c>
      <c r="V43" s="53">
        <f t="shared" si="3"/>
        <v>4.8334444444444422</v>
      </c>
      <c r="W43" s="53">
        <f t="shared" si="3"/>
        <v>8.433333333333326E-2</v>
      </c>
      <c r="X43" s="53">
        <f xml:space="preserve"> T43 - T38</f>
        <v>8.7666666666666657E-2</v>
      </c>
      <c r="Z43" s="11" t="s">
        <v>31</v>
      </c>
      <c r="AA43" s="10" cm="1">
        <f t="array" ref="AA43">AverageSkip($B$20:$Z$20, 3)</f>
        <v>21.542249999999999</v>
      </c>
      <c r="AB43" s="10" cm="1">
        <f t="array" ref="AB43">AverageSkip($C$20:$AA$20, 3)</f>
        <v>0.54275000000000007</v>
      </c>
      <c r="AC43" s="10" cm="1">
        <f t="array" ref="AC43">AverageSkip($D$20:$AB$20, 3)</f>
        <v>0.43512500000000004</v>
      </c>
      <c r="AD43" s="56">
        <v>37</v>
      </c>
      <c r="AE43" s="65">
        <f t="shared" si="2"/>
        <v>4.1884999999999977</v>
      </c>
      <c r="AF43" s="65">
        <f t="shared" si="2"/>
        <v>0.12937499999999991</v>
      </c>
      <c r="AG43" s="65">
        <f xml:space="preserve"> AC43 - AC39</f>
        <v>9.0499999999999969E-2</v>
      </c>
    </row>
    <row r="44" spans="1:39" ht="15.75" customHeight="1" x14ac:dyDescent="0.25">
      <c r="A44" s="20" t="s">
        <v>18</v>
      </c>
      <c r="B44" s="23">
        <v>0.625</v>
      </c>
      <c r="C44" s="23">
        <v>0.6</v>
      </c>
      <c r="D44" s="26">
        <v>0.71199999999999997</v>
      </c>
      <c r="E44" s="23">
        <v>0.63600000000000001</v>
      </c>
      <c r="F44" s="23">
        <v>0.76</v>
      </c>
      <c r="G44" s="40">
        <f t="shared" si="0"/>
        <v>0.66660000000000008</v>
      </c>
      <c r="H44" s="21">
        <v>0.67800000000000005</v>
      </c>
      <c r="I44" s="21">
        <v>0.69499999999999995</v>
      </c>
      <c r="J44" s="23">
        <v>0.625</v>
      </c>
      <c r="K44" s="21">
        <v>0.66100000000000003</v>
      </c>
      <c r="L44" s="21">
        <v>0.69299999999999995</v>
      </c>
      <c r="M44" s="40">
        <f t="shared" si="1"/>
        <v>0.6704</v>
      </c>
      <c r="Q44" s="11" t="s">
        <v>21</v>
      </c>
      <c r="R44" s="10" cm="1">
        <f t="array" ref="R44">AverageSkip($B$11:$Z$11, 3)</f>
        <v>25.623666666666665</v>
      </c>
      <c r="S44" s="10" cm="1">
        <f t="array" ref="S44">AverageSkip($C$11:$AA$11, 3)</f>
        <v>0.78744444444444428</v>
      </c>
      <c r="T44" s="10" cm="1">
        <f t="array" ref="T44">AverageSkip($D$11:$AB$11, 3)</f>
        <v>0.1728888888888889</v>
      </c>
      <c r="U44" s="56">
        <v>50</v>
      </c>
      <c r="V44" s="53">
        <f t="shared" si="3"/>
        <v>4.0550000000000033</v>
      </c>
      <c r="W44" s="53">
        <f t="shared" si="3"/>
        <v>8.333333333333337E-2</v>
      </c>
      <c r="X44" s="53">
        <f xml:space="preserve"> T44 - T39</f>
        <v>8.8888888888888892E-2</v>
      </c>
      <c r="Z44" s="20" t="s">
        <v>33</v>
      </c>
      <c r="AA44" s="10" cm="1">
        <f t="array" ref="AA44">AverageSkip($B$21:$Z$21, 3)</f>
        <v>20.419500000000003</v>
      </c>
      <c r="AB44" s="10" cm="1">
        <f t="array" ref="AB44">AverageSkip($C$21:$AA$21, 3)</f>
        <v>0.48116666666666674</v>
      </c>
      <c r="AC44" s="10" cm="1">
        <f t="array" ref="AC44">AverageSkip($D$21:$AB$21, 3)</f>
        <v>0.5568333333333334</v>
      </c>
      <c r="AD44" s="56">
        <v>42</v>
      </c>
      <c r="AE44" s="65">
        <f t="shared" si="2"/>
        <v>3.6028333333333329</v>
      </c>
      <c r="AF44" s="65">
        <f t="shared" si="2"/>
        <v>9.8499999999999921E-2</v>
      </c>
      <c r="AG44" s="65">
        <f xml:space="preserve"> AC44 - AC40</f>
        <v>0.10150000000000003</v>
      </c>
    </row>
    <row r="45" spans="1:39" ht="15.75" customHeight="1" x14ac:dyDescent="0.25">
      <c r="A45" s="11" t="s">
        <v>19</v>
      </c>
      <c r="B45" s="10">
        <v>0.90500000000000003</v>
      </c>
      <c r="C45" s="10">
        <v>0.93700000000000006</v>
      </c>
      <c r="D45" s="15">
        <v>0.9</v>
      </c>
      <c r="E45" s="10">
        <v>0.93500000000000005</v>
      </c>
      <c r="F45" s="10">
        <v>0.92500000000000004</v>
      </c>
      <c r="G45" s="40">
        <f t="shared" si="0"/>
        <v>0.92040000000000011</v>
      </c>
      <c r="H45" s="10">
        <v>0.755</v>
      </c>
      <c r="I45" s="10">
        <v>0.72199999999999998</v>
      </c>
      <c r="J45" s="10">
        <v>0.90500000000000003</v>
      </c>
      <c r="K45" s="10">
        <v>0.78900000000000003</v>
      </c>
      <c r="L45" s="10">
        <v>0.747</v>
      </c>
      <c r="M45" s="40">
        <f t="shared" si="1"/>
        <v>0.78359999999999996</v>
      </c>
      <c r="Q45" s="11" t="s">
        <v>22</v>
      </c>
      <c r="R45" s="10" cm="1">
        <f t="array" ref="R45">AverageSkip($B$12:$Z$12, 3)</f>
        <v>25.36577777777778</v>
      </c>
      <c r="S45" s="10" cm="1">
        <f t="array" ref="S45">AverageSkip($C$12:$AA$12, 3)</f>
        <v>0.76688888888888895</v>
      </c>
      <c r="T45" s="10" cm="1">
        <f t="array" ref="T45">AverageSkip($D$12:$AB$12, 3)</f>
        <v>0.218</v>
      </c>
      <c r="U45" s="56">
        <v>30</v>
      </c>
      <c r="V45" s="53">
        <f t="shared" si="3"/>
        <v>2.7038888888888835</v>
      </c>
      <c r="W45" s="53">
        <f t="shared" si="3"/>
        <v>5.7666666666666533E-2</v>
      </c>
      <c r="X45" s="53">
        <f xml:space="preserve"> T45 - T40</f>
        <v>6.8888888888888888E-2</v>
      </c>
    </row>
    <row r="46" spans="1:39" ht="15.75" customHeight="1" thickBot="1" x14ac:dyDescent="0.3">
      <c r="A46" s="11" t="s">
        <v>20</v>
      </c>
      <c r="B46" s="10">
        <v>0.86899999999999999</v>
      </c>
      <c r="C46" s="10">
        <v>0.90700000000000003</v>
      </c>
      <c r="D46" s="15">
        <v>0.877</v>
      </c>
      <c r="E46" s="39">
        <v>0.9</v>
      </c>
      <c r="F46" s="10">
        <v>0.91500000000000004</v>
      </c>
      <c r="G46" s="40">
        <f t="shared" si="0"/>
        <v>0.89359999999999995</v>
      </c>
      <c r="H46" s="10">
        <v>0.73499999999999999</v>
      </c>
      <c r="I46" s="10">
        <v>0.70399999999999996</v>
      </c>
      <c r="J46" s="10">
        <v>0.86899999999999999</v>
      </c>
      <c r="K46" s="10">
        <v>0.76100000000000001</v>
      </c>
      <c r="L46" s="10">
        <v>0.72399999999999998</v>
      </c>
      <c r="M46" s="40">
        <f t="shared" si="1"/>
        <v>0.75860000000000005</v>
      </c>
      <c r="Q46" s="6" t="s">
        <v>23</v>
      </c>
      <c r="R46" s="10" cm="1">
        <f t="array" ref="R46">AverageSkip($B$13:$Z$13, 3)</f>
        <v>22.610555555555553</v>
      </c>
      <c r="S46" s="10" cm="1">
        <f t="array" ref="S46">AverageSkip($C$13:$AA$13, 3)</f>
        <v>0.61655555555555552</v>
      </c>
      <c r="T46" s="10" cm="1">
        <f t="array" ref="T46">AverageSkip($D$13:$AB$13, 3)</f>
        <v>0.36677777777777781</v>
      </c>
      <c r="U46" s="56">
        <v>10</v>
      </c>
      <c r="V46" s="53">
        <f t="shared" si="3"/>
        <v>1.8515555555555565</v>
      </c>
      <c r="W46" s="53">
        <f t="shared" si="3"/>
        <v>5.6777777777777816E-2</v>
      </c>
      <c r="X46" s="53">
        <f xml:space="preserve"> T46 - T41</f>
        <v>2.1666666666666723E-2</v>
      </c>
    </row>
    <row r="47" spans="1:39" ht="15.75" customHeight="1" x14ac:dyDescent="0.25">
      <c r="A47" s="11" t="s">
        <v>21</v>
      </c>
      <c r="B47" s="39">
        <v>0.84199999999999997</v>
      </c>
      <c r="C47" s="17">
        <v>0.9</v>
      </c>
      <c r="D47" s="15">
        <v>0.86299999999999999</v>
      </c>
      <c r="E47" s="39">
        <v>0.86699999999999999</v>
      </c>
      <c r="F47" s="17">
        <v>0.90100000000000002</v>
      </c>
      <c r="G47" s="40">
        <f t="shared" si="0"/>
        <v>0.87460000000000004</v>
      </c>
      <c r="H47" s="10">
        <v>0.71299999999999997</v>
      </c>
      <c r="I47" s="10">
        <v>0.69099999999999995</v>
      </c>
      <c r="J47" s="39">
        <v>0.84199999999999997</v>
      </c>
      <c r="K47" s="29">
        <v>0.64200000000000002</v>
      </c>
      <c r="L47" s="10">
        <v>0.70399999999999996</v>
      </c>
      <c r="M47" s="40">
        <f t="shared" si="1"/>
        <v>0.71839999999999993</v>
      </c>
      <c r="W47" s="50"/>
    </row>
    <row r="48" spans="1:39" ht="15.75" customHeight="1" x14ac:dyDescent="0.25">
      <c r="A48" s="11" t="s">
        <v>22</v>
      </c>
      <c r="B48" s="17">
        <v>0.80100000000000005</v>
      </c>
      <c r="C48" s="17">
        <v>0.86799999999999999</v>
      </c>
      <c r="D48" s="18">
        <v>0.83799999999999997</v>
      </c>
      <c r="E48" s="17">
        <v>0.81699999999999995</v>
      </c>
      <c r="F48" s="17">
        <v>0.88700000000000001</v>
      </c>
      <c r="G48" s="40">
        <f t="shared" si="0"/>
        <v>0.84220000000000006</v>
      </c>
      <c r="H48" s="10">
        <v>0.67</v>
      </c>
      <c r="I48" s="10">
        <v>0.64700000000000002</v>
      </c>
      <c r="J48" s="17">
        <v>0.80100000000000005</v>
      </c>
      <c r="K48" s="31">
        <v>0.69799999999999995</v>
      </c>
      <c r="L48" s="10">
        <v>0.67600000000000005</v>
      </c>
      <c r="M48" s="40">
        <f t="shared" si="1"/>
        <v>0.69840000000000013</v>
      </c>
    </row>
    <row r="49" spans="1:36" ht="15.75" customHeight="1" thickBot="1" x14ac:dyDescent="0.3">
      <c r="A49" s="6" t="s">
        <v>23</v>
      </c>
      <c r="B49" s="32">
        <v>0.67100000000000004</v>
      </c>
      <c r="C49" s="32">
        <v>0.61499999999999999</v>
      </c>
      <c r="D49" s="34">
        <v>0.747</v>
      </c>
      <c r="E49" s="32">
        <v>0.67300000000000004</v>
      </c>
      <c r="F49" s="32">
        <v>0.80500000000000005</v>
      </c>
      <c r="G49" s="40">
        <f t="shared" si="0"/>
        <v>0.70220000000000005</v>
      </c>
      <c r="H49" s="7">
        <v>0.55000000000000004</v>
      </c>
      <c r="I49" s="7">
        <v>0.48299999999999998</v>
      </c>
      <c r="J49" s="32">
        <v>0.67100000000000004</v>
      </c>
      <c r="K49" s="7">
        <v>0.501</v>
      </c>
      <c r="L49" s="7">
        <v>0.504</v>
      </c>
      <c r="M49" s="40">
        <f t="shared" si="1"/>
        <v>0.54180000000000006</v>
      </c>
      <c r="U49" s="39" t="s">
        <v>57</v>
      </c>
      <c r="V49" s="43" t="s">
        <v>59</v>
      </c>
      <c r="W49" s="43" t="s">
        <v>43</v>
      </c>
      <c r="X49" s="43" t="s">
        <v>60</v>
      </c>
      <c r="Y49" s="43" t="s">
        <v>61</v>
      </c>
      <c r="Z49" s="43" t="s">
        <v>62</v>
      </c>
      <c r="AA49" s="43" t="s">
        <v>63</v>
      </c>
      <c r="AD49" s="58" t="s">
        <v>45</v>
      </c>
      <c r="AE49" s="43" t="s">
        <v>64</v>
      </c>
      <c r="AF49" s="43" t="s">
        <v>65</v>
      </c>
      <c r="AG49" s="43" t="s">
        <v>66</v>
      </c>
      <c r="AH49" s="43" t="s">
        <v>61</v>
      </c>
      <c r="AI49" s="43" t="s">
        <v>62</v>
      </c>
      <c r="AJ49" s="43" t="s">
        <v>63</v>
      </c>
    </row>
    <row r="50" spans="1:36" ht="15.75" customHeight="1" x14ac:dyDescent="0.35">
      <c r="A50" s="42" t="s">
        <v>45</v>
      </c>
      <c r="B50" s="38" t="s">
        <v>43</v>
      </c>
      <c r="C50" s="38" t="s">
        <v>44</v>
      </c>
      <c r="G50" s="38"/>
      <c r="H50" s="42" t="s">
        <v>45</v>
      </c>
      <c r="I50" s="38" t="s">
        <v>43</v>
      </c>
      <c r="J50" s="38" t="s">
        <v>44</v>
      </c>
      <c r="L50" s="42"/>
      <c r="M50" s="38"/>
      <c r="N50" s="38"/>
      <c r="U50" s="56"/>
      <c r="V50" s="10"/>
      <c r="W50" s="10"/>
      <c r="X50" s="10"/>
      <c r="Y50" s="10"/>
      <c r="Z50" s="10"/>
      <c r="AA50" s="10"/>
      <c r="AD50" s="56">
        <v>27</v>
      </c>
      <c r="AE50" s="10" cm="1">
        <f t="array" ref="AE50">AverageSkip($B$14:$Z$14, 3)</f>
        <v>30.780888888888892</v>
      </c>
      <c r="AF50" s="10" cm="1">
        <f t="array" ref="AF50">AverageSkip($C$14:$AA$14, 3)</f>
        <v>0.87077777777777765</v>
      </c>
      <c r="AG50" s="10" cm="1">
        <f t="array" ref="AG50">AverageSkip($D$14:$AB$14, 3)</f>
        <v>9.9111111111111108E-2</v>
      </c>
      <c r="AH50" s="10" cm="1">
        <f t="array" ref="AH50">AverageSkip($B$18:$Z$18, 3)</f>
        <v>25.527444444444441</v>
      </c>
      <c r="AI50" s="10" cm="1">
        <f t="array" ref="AI50">AverageSkip($C$18:$AA$18, 3)</f>
        <v>0.75177777777777788</v>
      </c>
      <c r="AJ50" s="10" cm="1">
        <f t="array" ref="AJ50">AverageSkip($D$18:$AB$18, 3)</f>
        <v>0.19522222222222224</v>
      </c>
    </row>
    <row r="51" spans="1:36" ht="15.75" customHeight="1" x14ac:dyDescent="0.25">
      <c r="A51" s="11">
        <v>90</v>
      </c>
      <c r="B51" s="41">
        <v>0.95499999999999996</v>
      </c>
      <c r="C51">
        <v>0.92</v>
      </c>
      <c r="H51" s="11">
        <v>90</v>
      </c>
      <c r="I51" s="41">
        <v>0.96199999999999997</v>
      </c>
      <c r="J51">
        <v>0.78400000000000003</v>
      </c>
      <c r="U51" s="39" t="s">
        <v>57</v>
      </c>
      <c r="V51" s="43" t="s">
        <v>59</v>
      </c>
      <c r="W51" s="43" t="s">
        <v>43</v>
      </c>
      <c r="X51" s="43" t="s">
        <v>60</v>
      </c>
      <c r="Y51" s="43" t="s">
        <v>61</v>
      </c>
      <c r="Z51" s="43" t="s">
        <v>62</v>
      </c>
      <c r="AA51" s="43" t="s">
        <v>63</v>
      </c>
      <c r="AD51" s="56">
        <v>32</v>
      </c>
      <c r="AE51" s="10" cm="1">
        <f t="array" ref="AE51">AverageSkip($B$15:$Z$15, 3)</f>
        <v>28.334888888888891</v>
      </c>
      <c r="AF51" s="10" cm="1">
        <f t="array" ref="AF51">AverageSkip($C$15:$AA$15, 3)</f>
        <v>0.77722222222222215</v>
      </c>
      <c r="AG51" s="10" cm="1">
        <f t="array" ref="AG51">AverageSkip($D$15:$AB$15, 3)</f>
        <v>0.21099999999999999</v>
      </c>
      <c r="AH51" s="10" cm="1">
        <f t="array" ref="AH51">AverageSkip($B$19:$Z$19, 3)</f>
        <v>23.781777777777776</v>
      </c>
      <c r="AI51" s="10" cm="1">
        <f t="array" ref="AI51">AverageSkip($C$19:$AA$19, 3)</f>
        <v>0.65211111111111109</v>
      </c>
      <c r="AJ51" s="10" cm="1">
        <f t="array" ref="AJ51">AverageSkip($D$19:$AB$19, 3)</f>
        <v>0.32588888888888884</v>
      </c>
    </row>
    <row r="52" spans="1:36" ht="15.75" customHeight="1" x14ac:dyDescent="0.25">
      <c r="A52" s="11">
        <v>70</v>
      </c>
      <c r="B52" s="41">
        <v>0.90300000000000002</v>
      </c>
      <c r="C52">
        <v>0.89400000000000002</v>
      </c>
      <c r="H52" s="11">
        <v>70</v>
      </c>
      <c r="I52" s="41">
        <v>0.90400000000000003</v>
      </c>
      <c r="J52">
        <v>0.75900000000000001</v>
      </c>
      <c r="U52" s="56">
        <v>50</v>
      </c>
      <c r="V52" s="39" cm="1">
        <f t="array" ref="V52">AverageSkip($B$6:$Z$6, 3)</f>
        <v>29.678666666666668</v>
      </c>
      <c r="W52" s="39" cm="1">
        <f t="array" ref="W52">AverageSkip($C$6:$AA$6, 3)</f>
        <v>0.87077777777777765</v>
      </c>
      <c r="X52" s="41" cm="1">
        <f t="array" ref="X52">AverageSkip($D$6:$AB$6, 3)</f>
        <v>8.4000000000000005E-2</v>
      </c>
      <c r="Y52" s="39" cm="1">
        <f t="array" ref="Y52">AverageSkip($B$11:$Z$11, 3)</f>
        <v>25.623666666666665</v>
      </c>
      <c r="Z52" s="39" cm="1">
        <f t="array" ref="Z52">AverageSkip($C$11:$AA$11, 3)</f>
        <v>0.78744444444444428</v>
      </c>
      <c r="AA52" s="41" cm="1">
        <f t="array" ref="AA52">AverageSkip($D$11:$AB$11, 3)</f>
        <v>0.1728888888888889</v>
      </c>
      <c r="AD52" s="56">
        <v>37</v>
      </c>
      <c r="AE52" s="10" cm="1">
        <f t="array" ref="AE52">AverageSkip($B$16:$Z$16, 3)</f>
        <v>25.730749999999997</v>
      </c>
      <c r="AF52" s="10" cm="1">
        <f t="array" ref="AF52">AverageSkip($C$16:$AA$16, 3)</f>
        <v>0.67212499999999997</v>
      </c>
      <c r="AG52" s="10" cm="1">
        <f t="array" ref="AG52">AverageSkip($D$16:$AB$16, 3)</f>
        <v>0.34462500000000007</v>
      </c>
      <c r="AH52" s="10" cm="1">
        <f t="array" ref="AH52">AverageSkip($B$20:$Z$20, 3)</f>
        <v>21.542249999999999</v>
      </c>
      <c r="AI52" s="10" cm="1">
        <f t="array" ref="AI52">AverageSkip($C$20:$AA$20, 3)</f>
        <v>0.54275000000000007</v>
      </c>
      <c r="AJ52" s="10" cm="1">
        <f t="array" ref="AJ52">AverageSkip($D$20:$AB$20, 3)</f>
        <v>0.43512500000000004</v>
      </c>
    </row>
    <row r="53" spans="1:36" ht="15.75" customHeight="1" x14ac:dyDescent="0.25">
      <c r="A53" s="11">
        <v>50</v>
      </c>
      <c r="B53" s="41">
        <v>0.86799999999999999</v>
      </c>
      <c r="C53">
        <v>0.875</v>
      </c>
      <c r="H53" s="11">
        <v>50</v>
      </c>
      <c r="I53" s="41">
        <v>0.86699999999999999</v>
      </c>
      <c r="J53">
        <v>0.71799999999999997</v>
      </c>
      <c r="U53" s="56">
        <v>30</v>
      </c>
      <c r="V53" s="39" cm="1">
        <f t="array" ref="V53">AverageSkip($B$7:$Z$7, 3)</f>
        <v>28.069666666666663</v>
      </c>
      <c r="W53" s="41" cm="1">
        <f t="array" ref="W53">AverageSkip($C$7:$AA$7, 3)</f>
        <v>0.82455555555555549</v>
      </c>
      <c r="X53" s="41" cm="1">
        <f t="array" ref="X53">AverageSkip($D$7:$AB$7, 3)</f>
        <v>0.14911111111111111</v>
      </c>
      <c r="Y53" s="39" cm="1">
        <f t="array" ref="Y53">AverageSkip($B$12:$Z$12, 3)</f>
        <v>25.36577777777778</v>
      </c>
      <c r="Z53" s="41" cm="1">
        <f t="array" ref="Z53">AverageSkip($C$12:$AA$12, 3)</f>
        <v>0.76688888888888895</v>
      </c>
      <c r="AA53" s="41" cm="1">
        <f t="array" ref="AA53">AverageSkip($D$12:$AB$12, 3)</f>
        <v>0.218</v>
      </c>
      <c r="AD53" s="56">
        <v>42</v>
      </c>
      <c r="AE53" s="10" cm="1">
        <f t="array" ref="AE53">AverageSkip($B$17:$Z$17, 3)</f>
        <v>24.022333333333336</v>
      </c>
      <c r="AF53" s="10" cm="1">
        <f t="array" ref="AF53">AverageSkip($C$17:$AA$17, 3)</f>
        <v>0.57966666666666666</v>
      </c>
      <c r="AG53" s="10" cm="1">
        <f t="array" ref="AG53">AverageSkip($D$17:$AB$17, 3)</f>
        <v>0.45533333333333337</v>
      </c>
      <c r="AH53" s="10" cm="1">
        <f t="array" ref="AH53">AverageSkip($B$21:$Z$21, 3)</f>
        <v>20.419500000000003</v>
      </c>
      <c r="AI53" s="10" cm="1">
        <f t="array" ref="AI53">AverageSkip($C$21:$AA$21, 3)</f>
        <v>0.48116666666666674</v>
      </c>
      <c r="AJ53" s="10" cm="1">
        <f t="array" ref="AJ53">AverageSkip($D$21:$AB$21, 3)</f>
        <v>0.5568333333333334</v>
      </c>
    </row>
    <row r="54" spans="1:36" ht="15.75" customHeight="1" x14ac:dyDescent="0.25">
      <c r="A54" s="11">
        <v>30</v>
      </c>
      <c r="B54" s="41">
        <v>0.82399999999999995</v>
      </c>
      <c r="C54">
        <v>0.84199999999999997</v>
      </c>
      <c r="H54" s="11">
        <v>30</v>
      </c>
      <c r="I54" s="41">
        <v>0.81799999999999995</v>
      </c>
      <c r="J54">
        <v>0.69799999999999995</v>
      </c>
      <c r="U54" s="56">
        <v>10</v>
      </c>
      <c r="V54" s="39" cm="1">
        <f t="array" ref="V54">AverageSkip($B$8:$Z$8, 3)</f>
        <v>24.46211111111111</v>
      </c>
      <c r="W54" s="41" cm="1">
        <f t="array" ref="W54">AverageSkip($C$8:$AA$8, 3)</f>
        <v>0.67333333333333334</v>
      </c>
      <c r="X54" s="39" cm="1">
        <f t="array" ref="X54">AverageSkip($D$8:$AB$8, 3)</f>
        <v>0.34511111111111109</v>
      </c>
      <c r="Y54" s="39" cm="1">
        <f t="array" ref="Y54">AverageSkip($B$13:$Z$13, 3)</f>
        <v>22.610555555555553</v>
      </c>
      <c r="Z54" s="41" cm="1">
        <f t="array" ref="Z54">AverageSkip($C$13:$AA$13, 3)</f>
        <v>0.61655555555555552</v>
      </c>
      <c r="AA54" s="39" cm="1">
        <f t="array" ref="AA54">AverageSkip($D$13:$AB$13, 3)</f>
        <v>0.36677777777777781</v>
      </c>
    </row>
    <row r="55" spans="1:36" ht="15.75" customHeight="1" x14ac:dyDescent="0.25">
      <c r="A55" s="20">
        <v>10</v>
      </c>
      <c r="B55" s="41">
        <v>0.66700000000000004</v>
      </c>
      <c r="C55">
        <v>0.70199999999999996</v>
      </c>
      <c r="H55" s="20">
        <v>10</v>
      </c>
      <c r="I55" s="41">
        <v>0.67</v>
      </c>
      <c r="J55">
        <v>0.54200000000000004</v>
      </c>
      <c r="U55" s="58" t="s">
        <v>45</v>
      </c>
      <c r="V55" s="43" t="s">
        <v>64</v>
      </c>
      <c r="W55" s="43" t="s">
        <v>65</v>
      </c>
      <c r="X55" s="43" t="s">
        <v>66</v>
      </c>
      <c r="Y55" s="43" t="s">
        <v>61</v>
      </c>
      <c r="Z55" s="43" t="s">
        <v>62</v>
      </c>
      <c r="AA55" s="43" t="s">
        <v>63</v>
      </c>
    </row>
    <row r="56" spans="1:36" ht="15.75" customHeight="1" x14ac:dyDescent="0.25">
      <c r="U56" s="56">
        <v>27</v>
      </c>
      <c r="V56" s="39" cm="1">
        <f t="array" ref="V56">AverageSkip($B$14:$Z$14, 3)</f>
        <v>30.780888888888892</v>
      </c>
      <c r="W56" s="39" cm="1">
        <f t="array" ref="W56">AverageSkip($C$14:$AA$14, 3)</f>
        <v>0.87077777777777765</v>
      </c>
      <c r="X56" s="41" cm="1">
        <f t="array" ref="X56">AverageSkip($D$14:$AB$14, 3)</f>
        <v>9.9111111111111108E-2</v>
      </c>
      <c r="Y56" s="39" cm="1">
        <f t="array" ref="Y56">AverageSkip($B$18:$Z$18, 3)</f>
        <v>25.527444444444441</v>
      </c>
      <c r="Z56" s="39" cm="1">
        <f t="array" ref="Z56">AverageSkip($C$18:$AA$18, 3)</f>
        <v>0.75177777777777788</v>
      </c>
      <c r="AA56" s="41" cm="1">
        <f t="array" ref="AA56">AverageSkip($D$18:$AB$18, 3)</f>
        <v>0.19522222222222224</v>
      </c>
    </row>
    <row r="57" spans="1:36" ht="15.75" customHeight="1" x14ac:dyDescent="0.25">
      <c r="U57" s="56">
        <v>32</v>
      </c>
      <c r="V57" s="39" cm="1">
        <f t="array" ref="V57">AverageSkip($B$15:$Z$15, 3)</f>
        <v>28.334888888888891</v>
      </c>
      <c r="W57" s="41" cm="1">
        <f t="array" ref="W57">AverageSkip($C$15:$AA$15, 3)</f>
        <v>0.77722222222222215</v>
      </c>
      <c r="X57" s="41" cm="1">
        <f t="array" ref="X57">AverageSkip($D$15:$AB$15, 3)</f>
        <v>0.21099999999999999</v>
      </c>
      <c r="Y57" s="39" cm="1">
        <f t="array" ref="Y57">AverageSkip($B$19:$Z$19, 3)</f>
        <v>23.781777777777776</v>
      </c>
      <c r="Z57" s="41" cm="1">
        <f t="array" ref="Z57">AverageSkip($C$19:$AA$19, 3)</f>
        <v>0.65211111111111109</v>
      </c>
      <c r="AA57" s="41" cm="1">
        <f t="array" ref="AA57">AverageSkip($D$19:$AB$19, 3)</f>
        <v>0.32588888888888884</v>
      </c>
    </row>
    <row r="58" spans="1:36" ht="15.75" customHeight="1" x14ac:dyDescent="0.25">
      <c r="U58" s="56">
        <v>37</v>
      </c>
      <c r="V58" s="39" cm="1">
        <f t="array" ref="V58">AverageSkip($B$16:$Z$16, 3)</f>
        <v>25.730749999999997</v>
      </c>
      <c r="W58" s="41" cm="1">
        <f t="array" ref="W58">AverageSkip($C$16:$AA$16, 3)</f>
        <v>0.67212499999999997</v>
      </c>
      <c r="X58" s="39" cm="1">
        <f t="array" ref="X58">AverageSkip($D$16:$AB$16, 3)</f>
        <v>0.34462500000000007</v>
      </c>
      <c r="Y58" s="39" cm="1">
        <f t="array" ref="Y58">AverageSkip($B$20:$Z$20, 3)</f>
        <v>21.542249999999999</v>
      </c>
      <c r="Z58" s="41" cm="1">
        <f t="array" ref="Z58">AverageSkip($C$20:$AA$20, 3)</f>
        <v>0.54275000000000007</v>
      </c>
      <c r="AA58" s="39" cm="1">
        <f t="array" ref="AA58">AverageSkip($D$20:$AB$20, 3)</f>
        <v>0.43512500000000004</v>
      </c>
    </row>
    <row r="59" spans="1:36" ht="15.75" customHeight="1" x14ac:dyDescent="0.25">
      <c r="U59" s="56"/>
      <c r="V59" s="10"/>
      <c r="W59" s="10"/>
      <c r="X59" s="10"/>
      <c r="Y59" s="10"/>
      <c r="Z59" s="10"/>
      <c r="AA59" s="10"/>
    </row>
    <row r="62" spans="1:36" ht="15.75" customHeight="1" x14ac:dyDescent="0.25">
      <c r="U62" s="58" t="s">
        <v>69</v>
      </c>
      <c r="V62" s="38" t="s">
        <v>73</v>
      </c>
      <c r="W62" s="38" t="s">
        <v>74</v>
      </c>
    </row>
    <row r="63" spans="1:36" ht="15.75" customHeight="1" x14ac:dyDescent="0.25">
      <c r="U63" s="38" t="s">
        <v>70</v>
      </c>
    </row>
    <row r="64" spans="1:36" ht="15.75" customHeight="1" x14ac:dyDescent="0.25">
      <c r="U64" s="38" t="s">
        <v>71</v>
      </c>
    </row>
    <row r="65" spans="21:23" ht="15.75" customHeight="1" x14ac:dyDescent="0.25">
      <c r="U65" s="38" t="s">
        <v>72</v>
      </c>
    </row>
    <row r="67" spans="21:23" ht="15.75" customHeight="1" x14ac:dyDescent="0.25">
      <c r="U67" s="66" t="s">
        <v>75</v>
      </c>
      <c r="V67" s="66" t="s">
        <v>76</v>
      </c>
      <c r="W67" s="66" t="s">
        <v>77</v>
      </c>
    </row>
    <row r="68" spans="21:23" ht="15.75" customHeight="1" x14ac:dyDescent="0.25">
      <c r="U68" s="67" t="s">
        <v>78</v>
      </c>
      <c r="V68" s="67">
        <v>29.678999999999998</v>
      </c>
      <c r="W68" s="67">
        <v>25.623999999999999</v>
      </c>
    </row>
    <row r="69" spans="21:23" ht="15.75" customHeight="1" x14ac:dyDescent="0.25">
      <c r="U69" s="67" t="s">
        <v>78</v>
      </c>
      <c r="V69" s="67">
        <v>28.07</v>
      </c>
      <c r="W69" s="67">
        <v>25.366</v>
      </c>
    </row>
    <row r="70" spans="21:23" ht="15.75" customHeight="1" x14ac:dyDescent="0.25">
      <c r="U70" s="67" t="s">
        <v>78</v>
      </c>
      <c r="V70" s="67">
        <v>24.462</v>
      </c>
      <c r="W70" s="67">
        <v>22.611000000000001</v>
      </c>
    </row>
    <row r="71" spans="21:23" ht="15.75" customHeight="1" x14ac:dyDescent="0.25">
      <c r="U71" s="67" t="s">
        <v>79</v>
      </c>
      <c r="V71" s="67">
        <v>30.780999999999999</v>
      </c>
      <c r="W71" s="67">
        <v>25.527000000000001</v>
      </c>
    </row>
    <row r="72" spans="21:23" ht="15.75" customHeight="1" x14ac:dyDescent="0.25">
      <c r="U72" s="67" t="s">
        <v>79</v>
      </c>
      <c r="V72" s="67">
        <v>28.335000000000001</v>
      </c>
      <c r="W72" s="67">
        <v>23.782</v>
      </c>
    </row>
    <row r="73" spans="21:23" ht="15.75" customHeight="1" x14ac:dyDescent="0.25">
      <c r="U73" s="67" t="s">
        <v>79</v>
      </c>
      <c r="V73" s="67">
        <v>25.731000000000002</v>
      </c>
      <c r="W73" s="67">
        <v>21.542000000000002</v>
      </c>
    </row>
  </sheetData>
  <mergeCells count="12">
    <mergeCell ref="Q1:S1"/>
    <mergeCell ref="T1:V1"/>
    <mergeCell ref="B1:D1"/>
    <mergeCell ref="E1:G1"/>
    <mergeCell ref="H1:J1"/>
    <mergeCell ref="K1:M1"/>
    <mergeCell ref="N1:P1"/>
    <mergeCell ref="AK27:AM27"/>
    <mergeCell ref="AK8:AM8"/>
    <mergeCell ref="AH14:AJ14"/>
    <mergeCell ref="W1:Y1"/>
    <mergeCell ref="Z1:AB1"/>
  </mergeCells>
  <phoneticPr fontId="6" type="noConversion"/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시트1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배채은</cp:lastModifiedBy>
  <dcterms:created xsi:type="dcterms:W3CDTF">2025-10-02T04:49:43Z</dcterms:created>
  <dcterms:modified xsi:type="dcterms:W3CDTF">2025-10-17T07:08:29Z</dcterms:modified>
</cp:coreProperties>
</file>