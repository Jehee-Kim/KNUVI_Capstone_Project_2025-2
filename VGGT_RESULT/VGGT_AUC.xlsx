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verage" sheetId="2" r:id="rId5"/>
    <sheet state="visible" name="AverageWithoutLaptop" sheetId="3" r:id="rId6"/>
  </sheets>
  <definedNames/>
  <calcPr/>
  <extLst>
    <ext uri="GoogleSheetsCustomDataVersion2">
      <go:sheetsCustomData xmlns:go="http://customooxmlschemas.google.com/" r:id="rId7" roundtripDataChecksum="14ZicrRHe+MKSHhaLRzNxXGFttgVE61VwgMMjE+PAyQ="/>
    </ext>
  </extLst>
</workbook>
</file>

<file path=xl/sharedStrings.xml><?xml version="1.0" encoding="utf-8"?>
<sst xmlns="http://schemas.openxmlformats.org/spreadsheetml/2006/main" count="95" uniqueCount="25">
  <si>
    <t>backpack</t>
  </si>
  <si>
    <t>ball</t>
  </si>
  <si>
    <t>book</t>
  </si>
  <si>
    <t>chair</t>
  </si>
  <si>
    <t>handbag</t>
  </si>
  <si>
    <t>laptop</t>
  </si>
  <si>
    <t>plant</t>
  </si>
  <si>
    <t>teddybear</t>
  </si>
  <si>
    <t>vase</t>
  </si>
  <si>
    <t>Mean</t>
  </si>
  <si>
    <t>Original</t>
  </si>
  <si>
    <t>AUC@30</t>
  </si>
  <si>
    <t>AUC@15</t>
  </si>
  <si>
    <t>AUC@5</t>
  </si>
  <si>
    <t>AUC@3</t>
  </si>
  <si>
    <t>AVC27</t>
  </si>
  <si>
    <t>AVC32</t>
  </si>
  <si>
    <t>AVC37</t>
  </si>
  <si>
    <t>AVC42</t>
  </si>
  <si>
    <t>AVC47</t>
  </si>
  <si>
    <t>JPEG70</t>
  </si>
  <si>
    <t>JPEG50</t>
  </si>
  <si>
    <t>JPEG30</t>
  </si>
  <si>
    <t>JPEG20</t>
  </si>
  <si>
    <t>JPEG10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</si>
</sst>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_);[Red]\(0.0000\)"/>
    <numFmt numFmtId="165" formatCode="0.0000_ "/>
  </numFmts>
  <fonts count="5">
    <font>
      <sz val="12.0"/>
      <color theme="1"/>
      <name val="Aptos Narrow"/>
      <scheme val="minor"/>
    </font>
    <font>
      <sz val="12.0"/>
      <color theme="1"/>
      <name val="Malgun Gothic"/>
    </font>
    <font>
      <b/>
      <sz val="12.0"/>
      <color theme="1"/>
      <name val="Malgun Gothic"/>
    </font>
    <font/>
    <font>
      <sz val="12.0"/>
      <color rgb="FF000000"/>
      <name val="Malgun Gothic"/>
    </font>
  </fonts>
  <fills count="2">
    <fill>
      <patternFill patternType="none"/>
    </fill>
    <fill>
      <patternFill patternType="lightGray"/>
    </fill>
  </fills>
  <borders count="52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3" fillId="0" fontId="2" numFmtId="164" xfId="0" applyAlignment="1" applyBorder="1" applyFont="1" applyNumberForma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5" fillId="0" fontId="1" numFmtId="164" xfId="0" applyAlignment="1" applyBorder="1" applyFont="1" applyNumberFormat="1">
      <alignment vertical="center"/>
    </xf>
    <xf borderId="6" fillId="0" fontId="1" numFmtId="164" xfId="0" applyAlignment="1" applyBorder="1" applyFont="1" applyNumberFormat="1">
      <alignment vertical="center"/>
    </xf>
    <xf borderId="7" fillId="0" fontId="1" numFmtId="164" xfId="0" applyAlignment="1" applyBorder="1" applyFont="1" applyNumberFormat="1">
      <alignment vertical="center"/>
    </xf>
    <xf borderId="8" fillId="0" fontId="3" numFmtId="0" xfId="0" applyAlignment="1" applyBorder="1" applyFont="1">
      <alignment vertical="center"/>
    </xf>
    <xf borderId="9" fillId="0" fontId="1" numFmtId="164" xfId="0" applyAlignment="1" applyBorder="1" applyFont="1" applyNumberFormat="1">
      <alignment vertical="center"/>
    </xf>
    <xf borderId="10" fillId="0" fontId="1" numFmtId="164" xfId="0" applyAlignment="1" applyBorder="1" applyFont="1" applyNumberFormat="1">
      <alignment vertical="center"/>
    </xf>
    <xf borderId="11" fillId="0" fontId="1" numFmtId="164" xfId="0" applyAlignment="1" applyBorder="1" applyFont="1" applyNumberFormat="1">
      <alignment vertical="center"/>
    </xf>
    <xf borderId="12" fillId="0" fontId="3" numFmtId="0" xfId="0" applyAlignment="1" applyBorder="1" applyFont="1">
      <alignment vertical="center"/>
    </xf>
    <xf borderId="13" fillId="0" fontId="1" numFmtId="164" xfId="0" applyAlignment="1" applyBorder="1" applyFont="1" applyNumberFormat="1">
      <alignment vertical="center"/>
    </xf>
    <xf borderId="14" fillId="0" fontId="1" numFmtId="164" xfId="0" applyAlignment="1" applyBorder="1" applyFont="1" applyNumberFormat="1">
      <alignment vertical="center"/>
    </xf>
    <xf borderId="15" fillId="0" fontId="1" numFmtId="164" xfId="0" applyAlignment="1" applyBorder="1" applyFont="1" applyNumberFormat="1">
      <alignment vertical="center"/>
    </xf>
    <xf borderId="8" fillId="0" fontId="1" numFmtId="164" xfId="0" applyAlignment="1" applyBorder="1" applyFont="1" applyNumberFormat="1">
      <alignment vertical="center"/>
    </xf>
    <xf borderId="16" fillId="0" fontId="1" numFmtId="164" xfId="0" applyAlignment="1" applyBorder="1" applyFont="1" applyNumberFormat="1">
      <alignment vertical="center"/>
    </xf>
    <xf borderId="17" fillId="0" fontId="1" numFmtId="164" xfId="0" applyAlignment="1" applyBorder="1" applyFont="1" applyNumberFormat="1">
      <alignment vertical="center"/>
    </xf>
    <xf borderId="18" fillId="0" fontId="1" numFmtId="164" xfId="0" applyAlignment="1" applyBorder="1" applyFont="1" applyNumberFormat="1">
      <alignment vertical="center"/>
    </xf>
    <xf borderId="19" fillId="0" fontId="3" numFmtId="0" xfId="0" applyAlignment="1" applyBorder="1" applyFont="1">
      <alignment vertical="center"/>
    </xf>
    <xf borderId="20" fillId="0" fontId="1" numFmtId="164" xfId="0" applyAlignment="1" applyBorder="1" applyFont="1" applyNumberFormat="1">
      <alignment vertical="center"/>
    </xf>
    <xf borderId="21" fillId="0" fontId="1" numFmtId="164" xfId="0" applyAlignment="1" applyBorder="1" applyFont="1" applyNumberFormat="1">
      <alignment vertical="center"/>
    </xf>
    <xf borderId="22" fillId="0" fontId="1" numFmtId="164" xfId="0" applyAlignment="1" applyBorder="1" applyFont="1" applyNumberFormat="1">
      <alignment vertical="center"/>
    </xf>
    <xf borderId="23" fillId="0" fontId="1" numFmtId="164" xfId="0" applyAlignment="1" applyBorder="1" applyFont="1" applyNumberFormat="1">
      <alignment vertical="center"/>
    </xf>
    <xf borderId="24" fillId="0" fontId="1" numFmtId="164" xfId="0" applyAlignment="1" applyBorder="1" applyFont="1" applyNumberFormat="1">
      <alignment vertical="center"/>
    </xf>
    <xf borderId="25" fillId="0" fontId="1" numFmtId="164" xfId="0" applyAlignment="1" applyBorder="1" applyFont="1" applyNumberFormat="1">
      <alignment vertical="center"/>
    </xf>
    <xf borderId="26" fillId="0" fontId="1" numFmtId="164" xfId="0" applyAlignment="1" applyBorder="1" applyFont="1" applyNumberFormat="1">
      <alignment vertical="center"/>
    </xf>
    <xf borderId="27" fillId="0" fontId="1" numFmtId="164" xfId="0" applyAlignment="1" applyBorder="1" applyFont="1" applyNumberFormat="1">
      <alignment horizontal="center" vertical="center"/>
    </xf>
    <xf borderId="10" fillId="0" fontId="4" numFmtId="164" xfId="0" applyAlignment="1" applyBorder="1" applyFont="1" applyNumberFormat="1">
      <alignment vertical="center"/>
    </xf>
    <xf borderId="11" fillId="0" fontId="4" numFmtId="164" xfId="0" applyAlignment="1" applyBorder="1" applyFont="1" applyNumberFormat="1">
      <alignment vertical="center"/>
    </xf>
    <xf borderId="9" fillId="0" fontId="4" numFmtId="164" xfId="0" applyAlignment="1" applyBorder="1" applyFont="1" applyNumberFormat="1">
      <alignment vertical="center"/>
    </xf>
    <xf borderId="28" fillId="0" fontId="1" numFmtId="165" xfId="0" applyAlignment="1" applyBorder="1" applyFont="1" applyNumberFormat="1">
      <alignment horizontal="center" vertical="center"/>
    </xf>
    <xf borderId="29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0" fillId="0" fontId="1" numFmtId="165" xfId="0" applyAlignment="1" applyBorder="1" applyFont="1" applyNumberFormat="1">
      <alignment horizontal="center" vertical="center"/>
    </xf>
    <xf borderId="31" fillId="0" fontId="1" numFmtId="165" xfId="0" applyAlignment="1" applyBorder="1" applyFont="1" applyNumberFormat="1">
      <alignment horizontal="center" vertical="center"/>
    </xf>
    <xf borderId="32" fillId="0" fontId="1" numFmtId="165" xfId="0" applyAlignment="1" applyBorder="1" applyFont="1" applyNumberFormat="1">
      <alignment horizontal="center" vertical="center"/>
    </xf>
    <xf borderId="33" fillId="0" fontId="1" numFmtId="165" xfId="0" applyAlignment="1" applyBorder="1" applyFont="1" applyNumberFormat="1">
      <alignment horizontal="center" vertical="center"/>
    </xf>
    <xf borderId="34" fillId="0" fontId="1" numFmtId="165" xfId="0" applyAlignment="1" applyBorder="1" applyFont="1" applyNumberFormat="1">
      <alignment horizontal="center" vertical="center"/>
    </xf>
    <xf borderId="25" fillId="0" fontId="1" numFmtId="165" xfId="0" applyAlignment="1" applyBorder="1" applyFont="1" applyNumberFormat="1">
      <alignment horizontal="center" vertical="center"/>
    </xf>
    <xf borderId="26" fillId="0" fontId="1" numFmtId="165" xfId="0" applyAlignment="1" applyBorder="1" applyFont="1" applyNumberFormat="1">
      <alignment horizontal="center" vertical="center"/>
    </xf>
    <xf borderId="24" fillId="0" fontId="1" numFmtId="165" xfId="0" applyAlignment="1" applyBorder="1" applyFont="1" applyNumberFormat="1">
      <alignment horizontal="center" vertical="center"/>
    </xf>
    <xf borderId="35" fillId="0" fontId="1" numFmtId="165" xfId="0" applyAlignment="1" applyBorder="1" applyFont="1" applyNumberFormat="1">
      <alignment horizontal="center" vertical="center"/>
    </xf>
    <xf borderId="10" fillId="0" fontId="1" numFmtId="165" xfId="0" applyAlignment="1" applyBorder="1" applyFont="1" applyNumberFormat="1">
      <alignment horizontal="center" vertical="center"/>
    </xf>
    <xf borderId="11" fillId="0" fontId="1" numFmtId="165" xfId="0" applyAlignment="1" applyBorder="1" applyFont="1" applyNumberFormat="1">
      <alignment horizontal="center" vertical="center"/>
    </xf>
    <xf borderId="9" fillId="0" fontId="1" numFmtId="165" xfId="0" applyAlignment="1" applyBorder="1" applyFont="1" applyNumberFormat="1">
      <alignment horizontal="center" vertical="center"/>
    </xf>
    <xf borderId="36" fillId="0" fontId="1" numFmtId="165" xfId="0" applyAlignment="1" applyBorder="1" applyFont="1" applyNumberFormat="1">
      <alignment horizontal="center" vertical="center"/>
    </xf>
    <xf borderId="21" fillId="0" fontId="1" numFmtId="165" xfId="0" applyAlignment="1" applyBorder="1" applyFont="1" applyNumberFormat="1">
      <alignment horizontal="center" vertical="center"/>
    </xf>
    <xf borderId="22" fillId="0" fontId="1" numFmtId="165" xfId="0" applyAlignment="1" applyBorder="1" applyFont="1" applyNumberFormat="1">
      <alignment horizontal="center" vertical="center"/>
    </xf>
    <xf borderId="20" fillId="0" fontId="1" numFmtId="165" xfId="0" applyAlignment="1" applyBorder="1" applyFont="1" applyNumberFormat="1">
      <alignment horizontal="center" vertical="center"/>
    </xf>
    <xf borderId="37" fillId="0" fontId="1" numFmtId="165" xfId="0" applyAlignment="1" applyBorder="1" applyFont="1" applyNumberFormat="1">
      <alignment horizontal="center" vertical="center"/>
    </xf>
    <xf borderId="14" fillId="0" fontId="1" numFmtId="165" xfId="0" applyAlignment="1" applyBorder="1" applyFont="1" applyNumberFormat="1">
      <alignment horizontal="center" vertical="center"/>
    </xf>
    <xf borderId="15" fillId="0" fontId="1" numFmtId="165" xfId="0" applyAlignment="1" applyBorder="1" applyFont="1" applyNumberFormat="1">
      <alignment horizontal="center" vertical="center"/>
    </xf>
    <xf borderId="13" fillId="0" fontId="1" numFmtId="165" xfId="0" applyAlignment="1" applyBorder="1" applyFont="1" applyNumberFormat="1">
      <alignment horizontal="center" vertical="center"/>
    </xf>
    <xf borderId="28" fillId="0" fontId="1" numFmtId="164" xfId="0" applyAlignment="1" applyBorder="1" applyFont="1" applyNumberFormat="1">
      <alignment horizontal="center" vertical="center"/>
    </xf>
    <xf borderId="38" fillId="0" fontId="1" numFmtId="164" xfId="0" applyAlignment="1" applyBorder="1" applyFont="1" applyNumberFormat="1">
      <alignment vertical="center"/>
    </xf>
    <xf borderId="39" fillId="0" fontId="1" numFmtId="164" xfId="0" applyAlignment="1" applyBorder="1" applyFont="1" applyNumberFormat="1">
      <alignment vertical="center"/>
    </xf>
    <xf borderId="40" fillId="0" fontId="1" numFmtId="164" xfId="0" applyAlignment="1" applyBorder="1" applyFont="1" applyNumberFormat="1">
      <alignment vertical="center"/>
    </xf>
    <xf borderId="41" fillId="0" fontId="1" numFmtId="164" xfId="0" applyAlignment="1" applyBorder="1" applyFont="1" applyNumberFormat="1">
      <alignment horizontal="center" vertical="center"/>
    </xf>
    <xf borderId="42" fillId="0" fontId="1" numFmtId="164" xfId="0" applyAlignment="1" applyBorder="1" applyFont="1" applyNumberFormat="1">
      <alignment vertical="center"/>
    </xf>
    <xf borderId="43" fillId="0" fontId="1" numFmtId="164" xfId="0" applyAlignment="1" applyBorder="1" applyFont="1" applyNumberFormat="1">
      <alignment vertical="center"/>
    </xf>
    <xf borderId="44" fillId="0" fontId="1" numFmtId="164" xfId="0" applyAlignment="1" applyBorder="1" applyFont="1" applyNumberFormat="1">
      <alignment vertical="center"/>
    </xf>
    <xf borderId="45" fillId="0" fontId="1" numFmtId="164" xfId="0" applyAlignment="1" applyBorder="1" applyFont="1" applyNumberFormat="1">
      <alignment horizontal="center" vertical="center"/>
    </xf>
    <xf borderId="46" fillId="0" fontId="1" numFmtId="164" xfId="0" applyAlignment="1" applyBorder="1" applyFont="1" applyNumberFormat="1">
      <alignment horizontal="center" vertical="center"/>
    </xf>
    <xf borderId="47" fillId="0" fontId="1" numFmtId="164" xfId="0" applyAlignment="1" applyBorder="1" applyFont="1" applyNumberFormat="1">
      <alignment vertical="center"/>
    </xf>
    <xf borderId="48" fillId="0" fontId="1" numFmtId="164" xfId="0" applyAlignment="1" applyBorder="1" applyFont="1" applyNumberFormat="1">
      <alignment horizontal="center" vertical="center"/>
    </xf>
    <xf borderId="49" fillId="0" fontId="1" numFmtId="164" xfId="0" applyAlignment="1" applyBorder="1" applyFont="1" applyNumberFormat="1">
      <alignment vertical="center"/>
    </xf>
    <xf borderId="50" fillId="0" fontId="1" numFmtId="164" xfId="0" applyAlignment="1" applyBorder="1" applyFont="1" applyNumberFormat="1">
      <alignment horizontal="center" vertical="center"/>
    </xf>
    <xf borderId="51" fillId="0" fontId="1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1.22" defaultRowHeight="15.0"/>
  <cols>
    <col customWidth="1" min="1" max="26" width="8.3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"/>
      <c r="C4" s="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4" t="s">
        <v>8</v>
      </c>
      <c r="L4" s="1"/>
      <c r="M4" s="1" t="s">
        <v>9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5" t="s">
        <v>10</v>
      </c>
      <c r="B5" s="6" t="s">
        <v>11</v>
      </c>
      <c r="C5" s="7">
        <v>0.9852</v>
      </c>
      <c r="D5" s="8">
        <v>0.9726</v>
      </c>
      <c r="E5" s="8">
        <v>0.9696</v>
      </c>
      <c r="F5" s="8">
        <v>0.9993</v>
      </c>
      <c r="G5" s="8">
        <v>0.9704</v>
      </c>
      <c r="H5" s="8">
        <v>0.0681</v>
      </c>
      <c r="I5" s="8">
        <v>0.9296</v>
      </c>
      <c r="J5" s="8">
        <v>0.9889</v>
      </c>
      <c r="K5" s="6">
        <v>0.98</v>
      </c>
      <c r="L5" s="1"/>
      <c r="M5" s="1">
        <f t="shared" ref="M5:M58" si="1">AVERAGE(C5:G5,I5:K5)</f>
        <v>0.97445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9"/>
      <c r="B6" s="10" t="s">
        <v>12</v>
      </c>
      <c r="C6" s="11">
        <v>0.9704</v>
      </c>
      <c r="D6" s="12">
        <v>0.9452</v>
      </c>
      <c r="E6" s="12">
        <v>0.9393</v>
      </c>
      <c r="F6" s="12">
        <v>0.9985</v>
      </c>
      <c r="G6" s="12">
        <v>0.9407</v>
      </c>
      <c r="H6" s="12">
        <v>0.0163</v>
      </c>
      <c r="I6" s="12">
        <v>0.8593</v>
      </c>
      <c r="J6" s="12">
        <v>0.9778</v>
      </c>
      <c r="K6" s="10">
        <v>0.96</v>
      </c>
      <c r="L6" s="1"/>
      <c r="M6" s="1">
        <f t="shared" si="1"/>
        <v>0.9489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9"/>
      <c r="B7" s="10" t="s">
        <v>13</v>
      </c>
      <c r="C7" s="11">
        <v>0.9111</v>
      </c>
      <c r="D7" s="12">
        <v>0.8356</v>
      </c>
      <c r="E7" s="12">
        <v>0.8178</v>
      </c>
      <c r="F7" s="12">
        <v>0.9956</v>
      </c>
      <c r="G7" s="12">
        <v>0.8222</v>
      </c>
      <c r="H7" s="12">
        <v>0.0</v>
      </c>
      <c r="I7" s="12">
        <v>0.6356</v>
      </c>
      <c r="J7" s="12">
        <v>0.9333</v>
      </c>
      <c r="K7" s="10">
        <v>0.8844</v>
      </c>
      <c r="L7" s="1"/>
      <c r="M7" s="1">
        <f t="shared" si="1"/>
        <v>0.85445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3"/>
      <c r="B8" s="14" t="s">
        <v>14</v>
      </c>
      <c r="C8" s="15">
        <v>0.8519</v>
      </c>
      <c r="D8" s="16">
        <v>0.7259</v>
      </c>
      <c r="E8" s="16">
        <v>0.7037</v>
      </c>
      <c r="F8" s="16">
        <v>0.9926</v>
      </c>
      <c r="G8" s="16">
        <v>0.7037</v>
      </c>
      <c r="H8" s="16">
        <v>0.0</v>
      </c>
      <c r="I8" s="16">
        <v>0.4741</v>
      </c>
      <c r="J8" s="16">
        <v>0.8889</v>
      </c>
      <c r="K8" s="14">
        <v>0.8222</v>
      </c>
      <c r="L8" s="1"/>
      <c r="M8" s="1">
        <f t="shared" si="1"/>
        <v>0.770375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hidden="1" customHeight="1">
      <c r="A9" s="17"/>
      <c r="B9" s="18"/>
      <c r="C9" s="19"/>
      <c r="D9" s="20"/>
      <c r="E9" s="20"/>
      <c r="F9" s="20"/>
      <c r="G9" s="20"/>
      <c r="H9" s="20"/>
      <c r="I9" s="20"/>
      <c r="J9" s="20"/>
      <c r="K9" s="18"/>
      <c r="L9" s="1"/>
      <c r="M9" s="1" t="str">
        <f t="shared" si="1"/>
        <v>#DIV/0!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5" t="s">
        <v>15</v>
      </c>
      <c r="B10" s="6" t="s">
        <v>11</v>
      </c>
      <c r="C10" s="7">
        <v>0.9844</v>
      </c>
      <c r="D10" s="8">
        <v>0.9667</v>
      </c>
      <c r="E10" s="8">
        <v>0.897</v>
      </c>
      <c r="F10" s="8">
        <v>1.0</v>
      </c>
      <c r="G10" s="8">
        <v>0.9474</v>
      </c>
      <c r="H10" s="8">
        <v>0.0444</v>
      </c>
      <c r="I10" s="8">
        <v>0.9393</v>
      </c>
      <c r="J10" s="8">
        <v>0.9859</v>
      </c>
      <c r="K10" s="6">
        <v>0.9622</v>
      </c>
      <c r="L10" s="1"/>
      <c r="M10" s="1">
        <f t="shared" si="1"/>
        <v>0.9603625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9"/>
      <c r="B11" s="10" t="s">
        <v>12</v>
      </c>
      <c r="C11" s="11">
        <v>0.9689</v>
      </c>
      <c r="D11" s="12">
        <v>0.9333</v>
      </c>
      <c r="E11" s="12">
        <v>0.7941</v>
      </c>
      <c r="F11" s="12">
        <v>1.0</v>
      </c>
      <c r="G11" s="12">
        <v>0.8948</v>
      </c>
      <c r="H11" s="12">
        <v>0.0119</v>
      </c>
      <c r="I11" s="12">
        <v>0.8785</v>
      </c>
      <c r="J11" s="12">
        <v>0.9719</v>
      </c>
      <c r="K11" s="10">
        <v>0.9244</v>
      </c>
      <c r="L11" s="1"/>
      <c r="M11" s="1">
        <f t="shared" si="1"/>
        <v>0.9207375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9"/>
      <c r="B12" s="10" t="s">
        <v>13</v>
      </c>
      <c r="C12" s="11">
        <v>0.9067</v>
      </c>
      <c r="D12" s="12">
        <v>0.8133</v>
      </c>
      <c r="E12" s="12">
        <v>0.4489</v>
      </c>
      <c r="F12" s="12">
        <v>1.0</v>
      </c>
      <c r="G12" s="12">
        <v>0.6933</v>
      </c>
      <c r="H12" s="12">
        <v>0.0</v>
      </c>
      <c r="I12" s="12">
        <v>0.68</v>
      </c>
      <c r="J12" s="12">
        <v>0.9156</v>
      </c>
      <c r="K12" s="10">
        <v>0.7822</v>
      </c>
      <c r="L12" s="1"/>
      <c r="M12" s="1">
        <f t="shared" si="1"/>
        <v>0.78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21"/>
      <c r="B13" s="22" t="s">
        <v>14</v>
      </c>
      <c r="C13" s="23">
        <v>0.8444</v>
      </c>
      <c r="D13" s="24">
        <v>0.7037</v>
      </c>
      <c r="E13" s="24">
        <v>0.2889</v>
      </c>
      <c r="F13" s="24">
        <v>1.0</v>
      </c>
      <c r="G13" s="24">
        <v>0.5259</v>
      </c>
      <c r="H13" s="24">
        <v>0.0</v>
      </c>
      <c r="I13" s="24">
        <v>0.5259</v>
      </c>
      <c r="J13" s="24">
        <v>0.8593</v>
      </c>
      <c r="K13" s="22">
        <v>0.6741</v>
      </c>
      <c r="L13" s="1"/>
      <c r="M13" s="1">
        <f t="shared" si="1"/>
        <v>0.677775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hidden="1" customHeight="1">
      <c r="A14" s="25"/>
      <c r="B14" s="26"/>
      <c r="C14" s="27"/>
      <c r="D14" s="28"/>
      <c r="E14" s="28"/>
      <c r="F14" s="28"/>
      <c r="G14" s="28"/>
      <c r="H14" s="28"/>
      <c r="I14" s="28"/>
      <c r="J14" s="28"/>
      <c r="K14" s="26"/>
      <c r="L14" s="1"/>
      <c r="M14" s="1" t="str">
        <f t="shared" si="1"/>
        <v>#DIV/0!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29" t="s">
        <v>16</v>
      </c>
      <c r="B15" s="10" t="s">
        <v>11</v>
      </c>
      <c r="C15" s="30">
        <v>0.9807</v>
      </c>
      <c r="D15" s="31">
        <v>0.96</v>
      </c>
      <c r="E15" s="31">
        <v>0.903</v>
      </c>
      <c r="F15" s="31">
        <v>0.9978</v>
      </c>
      <c r="G15" s="31">
        <v>0.9422</v>
      </c>
      <c r="H15" s="12">
        <v>0.0474</v>
      </c>
      <c r="I15" s="31">
        <v>0.9407</v>
      </c>
      <c r="J15" s="31">
        <v>0.9844</v>
      </c>
      <c r="K15" s="32">
        <v>0.9519</v>
      </c>
      <c r="L15" s="1"/>
      <c r="M15" s="1">
        <f t="shared" si="1"/>
        <v>0.9575875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9"/>
      <c r="B16" s="10" t="s">
        <v>12</v>
      </c>
      <c r="C16" s="11">
        <v>0.9615</v>
      </c>
      <c r="D16" s="12">
        <v>0.92</v>
      </c>
      <c r="E16" s="12">
        <v>0.8059</v>
      </c>
      <c r="F16" s="12">
        <v>0.9956</v>
      </c>
      <c r="G16" s="12">
        <v>0.8844</v>
      </c>
      <c r="H16" s="12">
        <v>0.0104</v>
      </c>
      <c r="I16" s="12">
        <v>0.8815</v>
      </c>
      <c r="J16" s="12">
        <v>0.9689</v>
      </c>
      <c r="K16" s="10">
        <v>0.9037</v>
      </c>
      <c r="L16" s="1"/>
      <c r="M16" s="1">
        <f t="shared" si="1"/>
        <v>0.9151875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9"/>
      <c r="B17" s="10" t="s">
        <v>13</v>
      </c>
      <c r="C17" s="11">
        <v>0.8844</v>
      </c>
      <c r="D17" s="12">
        <v>0.7644</v>
      </c>
      <c r="E17" s="12">
        <v>0.4756</v>
      </c>
      <c r="F17" s="12">
        <v>0.9867</v>
      </c>
      <c r="G17" s="12">
        <v>0.6667</v>
      </c>
      <c r="H17" s="12">
        <v>0.0</v>
      </c>
      <c r="I17" s="12">
        <v>0.6711</v>
      </c>
      <c r="J17" s="12">
        <v>0.9067</v>
      </c>
      <c r="K17" s="10">
        <v>0.7333</v>
      </c>
      <c r="L17" s="1"/>
      <c r="M17" s="1">
        <f t="shared" si="1"/>
        <v>0.7611125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21"/>
      <c r="B18" s="22" t="s">
        <v>14</v>
      </c>
      <c r="C18" s="23">
        <v>0.8074</v>
      </c>
      <c r="D18" s="24">
        <v>0.6222</v>
      </c>
      <c r="E18" s="24">
        <v>0.3333</v>
      </c>
      <c r="F18" s="24">
        <v>0.9778</v>
      </c>
      <c r="G18" s="24">
        <v>0.4889</v>
      </c>
      <c r="H18" s="24">
        <v>0.0</v>
      </c>
      <c r="I18" s="24">
        <v>0.5111</v>
      </c>
      <c r="J18" s="24">
        <v>0.8519</v>
      </c>
      <c r="K18" s="22">
        <v>0.6148</v>
      </c>
      <c r="L18" s="1"/>
      <c r="M18" s="1">
        <f t="shared" si="1"/>
        <v>0.650925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hidden="1" customHeight="1">
      <c r="A19" s="25"/>
      <c r="B19" s="26"/>
      <c r="C19" s="27"/>
      <c r="D19" s="28"/>
      <c r="E19" s="28"/>
      <c r="F19" s="28"/>
      <c r="G19" s="28"/>
      <c r="H19" s="28"/>
      <c r="I19" s="28"/>
      <c r="J19" s="28"/>
      <c r="K19" s="26"/>
      <c r="L19" s="1"/>
      <c r="M19" s="1" t="str">
        <f t="shared" si="1"/>
        <v>#DIV/0!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29" t="s">
        <v>17</v>
      </c>
      <c r="B20" s="10" t="s">
        <v>11</v>
      </c>
      <c r="C20" s="11">
        <v>0.977</v>
      </c>
      <c r="D20" s="12">
        <v>0.9378</v>
      </c>
      <c r="E20" s="12">
        <v>0.8889</v>
      </c>
      <c r="F20" s="12">
        <v>0.9978</v>
      </c>
      <c r="G20" s="12">
        <v>0.9415</v>
      </c>
      <c r="H20" s="12">
        <v>0.0644</v>
      </c>
      <c r="I20" s="12">
        <v>0.9348</v>
      </c>
      <c r="J20" s="12">
        <v>0.983</v>
      </c>
      <c r="K20" s="10">
        <v>0.9467</v>
      </c>
      <c r="L20" s="1"/>
      <c r="M20" s="1">
        <f t="shared" si="1"/>
        <v>0.9509375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9"/>
      <c r="B21" s="10" t="s">
        <v>12</v>
      </c>
      <c r="C21" s="11">
        <v>0.9541</v>
      </c>
      <c r="D21" s="12">
        <v>0.8756</v>
      </c>
      <c r="E21" s="12">
        <v>0.7778</v>
      </c>
      <c r="F21" s="12">
        <v>0.9956</v>
      </c>
      <c r="G21" s="12">
        <v>0.883</v>
      </c>
      <c r="H21" s="12">
        <v>0.0133</v>
      </c>
      <c r="I21" s="12">
        <v>0.8696</v>
      </c>
      <c r="J21" s="12">
        <v>0.9659</v>
      </c>
      <c r="K21" s="10">
        <v>0.8933</v>
      </c>
      <c r="L21" s="1"/>
      <c r="M21" s="1">
        <f t="shared" si="1"/>
        <v>0.9018625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9"/>
      <c r="B22" s="10" t="s">
        <v>13</v>
      </c>
      <c r="C22" s="11">
        <v>0.8622</v>
      </c>
      <c r="D22" s="12">
        <v>0.64</v>
      </c>
      <c r="E22" s="12">
        <v>0.4178</v>
      </c>
      <c r="F22" s="12">
        <v>0.9867</v>
      </c>
      <c r="G22" s="12">
        <v>0.6578</v>
      </c>
      <c r="H22" s="12">
        <v>0.0</v>
      </c>
      <c r="I22" s="12">
        <v>0.6533</v>
      </c>
      <c r="J22" s="12">
        <v>0.8978</v>
      </c>
      <c r="K22" s="10">
        <v>0.7156</v>
      </c>
      <c r="L22" s="1"/>
      <c r="M22" s="1">
        <f t="shared" si="1"/>
        <v>0.7289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21"/>
      <c r="B23" s="22" t="s">
        <v>14</v>
      </c>
      <c r="C23" s="23">
        <v>0.7704</v>
      </c>
      <c r="D23" s="24">
        <v>0.4222</v>
      </c>
      <c r="E23" s="24">
        <v>0.2741</v>
      </c>
      <c r="F23" s="24">
        <v>0.9778</v>
      </c>
      <c r="G23" s="24">
        <v>0.4889</v>
      </c>
      <c r="H23" s="24">
        <v>0.0</v>
      </c>
      <c r="I23" s="24">
        <v>0.4889</v>
      </c>
      <c r="J23" s="24">
        <v>0.837</v>
      </c>
      <c r="K23" s="22">
        <v>0.5852</v>
      </c>
      <c r="L23" s="1"/>
      <c r="M23" s="1">
        <f t="shared" si="1"/>
        <v>0.6055625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hidden="1" customHeight="1">
      <c r="A24" s="25"/>
      <c r="B24" s="26"/>
      <c r="C24" s="27"/>
      <c r="D24" s="28"/>
      <c r="E24" s="28"/>
      <c r="F24" s="28"/>
      <c r="G24" s="28"/>
      <c r="H24" s="28"/>
      <c r="I24" s="28"/>
      <c r="J24" s="28"/>
      <c r="K24" s="26"/>
      <c r="L24" s="1"/>
      <c r="M24" s="1" t="str">
        <f t="shared" si="1"/>
        <v>#DIV/0!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29" t="s">
        <v>18</v>
      </c>
      <c r="B25" s="10" t="s">
        <v>11</v>
      </c>
      <c r="C25" s="11">
        <v>0.9674</v>
      </c>
      <c r="D25" s="12">
        <v>0.937</v>
      </c>
      <c r="E25" s="12">
        <v>0.863</v>
      </c>
      <c r="F25" s="12">
        <v>0.9874</v>
      </c>
      <c r="G25" s="12">
        <v>0.9156</v>
      </c>
      <c r="H25" s="12">
        <v>0.0481</v>
      </c>
      <c r="I25" s="12">
        <v>0.9326</v>
      </c>
      <c r="J25" s="12">
        <v>0.9859</v>
      </c>
      <c r="K25" s="10">
        <v>0.9348</v>
      </c>
      <c r="L25" s="1"/>
      <c r="M25" s="1">
        <f t="shared" si="1"/>
        <v>0.9404625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9"/>
      <c r="B26" s="10" t="s">
        <v>12</v>
      </c>
      <c r="C26" s="11">
        <v>0.9348</v>
      </c>
      <c r="D26" s="12">
        <v>0.8741</v>
      </c>
      <c r="E26" s="12">
        <v>0.7259</v>
      </c>
      <c r="F26" s="12">
        <v>0.9748</v>
      </c>
      <c r="G26" s="12">
        <v>0.8311</v>
      </c>
      <c r="H26" s="12">
        <v>0.0119</v>
      </c>
      <c r="I26" s="12">
        <v>0.8652</v>
      </c>
      <c r="J26" s="12">
        <v>0.9719</v>
      </c>
      <c r="K26" s="10">
        <v>0.8696</v>
      </c>
      <c r="L26" s="1"/>
      <c r="M26" s="1">
        <f t="shared" si="1"/>
        <v>0.880925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9"/>
      <c r="B27" s="10" t="s">
        <v>13</v>
      </c>
      <c r="C27" s="11">
        <v>0.8044</v>
      </c>
      <c r="D27" s="12">
        <v>0.6711</v>
      </c>
      <c r="E27" s="12">
        <v>0.3111</v>
      </c>
      <c r="F27" s="12">
        <v>0.9244</v>
      </c>
      <c r="G27" s="12">
        <v>0.5378</v>
      </c>
      <c r="H27" s="12">
        <v>0.0</v>
      </c>
      <c r="I27" s="12">
        <v>0.6267</v>
      </c>
      <c r="J27" s="12">
        <v>0.9156</v>
      </c>
      <c r="K27" s="10">
        <v>0.6489</v>
      </c>
      <c r="L27" s="1"/>
      <c r="M27" s="1">
        <f t="shared" si="1"/>
        <v>0.68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21"/>
      <c r="B28" s="22" t="s">
        <v>14</v>
      </c>
      <c r="C28" s="23">
        <v>0.6741</v>
      </c>
      <c r="D28" s="24">
        <v>0.4889</v>
      </c>
      <c r="E28" s="24">
        <v>0.2</v>
      </c>
      <c r="F28" s="24">
        <v>0.8741</v>
      </c>
      <c r="G28" s="24">
        <v>0.3481</v>
      </c>
      <c r="H28" s="24">
        <v>0.0</v>
      </c>
      <c r="I28" s="24">
        <v>0.4741</v>
      </c>
      <c r="J28" s="24">
        <v>0.8667</v>
      </c>
      <c r="K28" s="22">
        <v>0.4963</v>
      </c>
      <c r="L28" s="1"/>
      <c r="M28" s="1">
        <f t="shared" si="1"/>
        <v>0.5527875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hidden="1" customHeight="1">
      <c r="A29" s="25"/>
      <c r="B29" s="26"/>
      <c r="C29" s="27"/>
      <c r="D29" s="28"/>
      <c r="E29" s="28"/>
      <c r="F29" s="28"/>
      <c r="G29" s="28"/>
      <c r="H29" s="28"/>
      <c r="I29" s="28"/>
      <c r="J29" s="28"/>
      <c r="K29" s="26"/>
      <c r="L29" s="1"/>
      <c r="M29" s="1" t="str">
        <f t="shared" si="1"/>
        <v>#DIV/0!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29" t="s">
        <v>19</v>
      </c>
      <c r="B30" s="10" t="s">
        <v>11</v>
      </c>
      <c r="C30" s="11">
        <v>0.9704</v>
      </c>
      <c r="D30" s="12">
        <v>0.9119</v>
      </c>
      <c r="E30" s="12">
        <v>0.803</v>
      </c>
      <c r="F30" s="12">
        <v>0.9644</v>
      </c>
      <c r="G30" s="12">
        <v>0.9193</v>
      </c>
      <c r="H30" s="12">
        <v>0.1022</v>
      </c>
      <c r="I30" s="12">
        <v>0.903</v>
      </c>
      <c r="J30" s="12">
        <v>0.9815</v>
      </c>
      <c r="K30" s="10">
        <v>0.9141</v>
      </c>
      <c r="L30" s="1"/>
      <c r="M30" s="1">
        <f t="shared" si="1"/>
        <v>0.92095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9"/>
      <c r="B31" s="10" t="s">
        <v>12</v>
      </c>
      <c r="C31" s="11">
        <v>0.9407</v>
      </c>
      <c r="D31" s="12">
        <v>0.8237</v>
      </c>
      <c r="E31" s="12">
        <v>0.6252</v>
      </c>
      <c r="F31" s="12">
        <v>0.9289</v>
      </c>
      <c r="G31" s="12">
        <v>0.8385</v>
      </c>
      <c r="H31" s="12">
        <v>0.0311</v>
      </c>
      <c r="I31" s="12">
        <v>0.8059</v>
      </c>
      <c r="J31" s="12">
        <v>0.963</v>
      </c>
      <c r="K31" s="10">
        <v>0.8281</v>
      </c>
      <c r="L31" s="1"/>
      <c r="M31" s="1">
        <f t="shared" si="1"/>
        <v>0.84425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9"/>
      <c r="B32" s="10" t="s">
        <v>13</v>
      </c>
      <c r="C32" s="11">
        <v>0.8222</v>
      </c>
      <c r="D32" s="12">
        <v>0.4889</v>
      </c>
      <c r="E32" s="12">
        <v>0.2622</v>
      </c>
      <c r="F32" s="12">
        <v>0.7956</v>
      </c>
      <c r="G32" s="12">
        <v>0.5733</v>
      </c>
      <c r="H32" s="12">
        <v>0.0</v>
      </c>
      <c r="I32" s="12">
        <v>0.5511</v>
      </c>
      <c r="J32" s="12">
        <v>0.8889</v>
      </c>
      <c r="K32" s="10">
        <v>0.5111</v>
      </c>
      <c r="L32" s="1"/>
      <c r="M32" s="1">
        <f t="shared" si="1"/>
        <v>0.6116625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3"/>
      <c r="B33" s="14" t="s">
        <v>14</v>
      </c>
      <c r="C33" s="15">
        <v>0.7037</v>
      </c>
      <c r="D33" s="16">
        <v>0.2222</v>
      </c>
      <c r="E33" s="16">
        <v>0.1704</v>
      </c>
      <c r="F33" s="16">
        <v>0.6889</v>
      </c>
      <c r="G33" s="16">
        <v>0.3556</v>
      </c>
      <c r="H33" s="16">
        <v>0.0</v>
      </c>
      <c r="I33" s="16">
        <v>0.4444</v>
      </c>
      <c r="J33" s="16">
        <v>0.8296</v>
      </c>
      <c r="K33" s="14">
        <v>0.3259</v>
      </c>
      <c r="L33" s="1"/>
      <c r="M33" s="1">
        <f t="shared" si="1"/>
        <v>0.4675875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hidden="1" customHeight="1">
      <c r="A34" s="17"/>
      <c r="B34" s="18"/>
      <c r="C34" s="19"/>
      <c r="D34" s="20"/>
      <c r="E34" s="20"/>
      <c r="F34" s="20"/>
      <c r="G34" s="20"/>
      <c r="H34" s="20"/>
      <c r="I34" s="20"/>
      <c r="J34" s="20"/>
      <c r="K34" s="18"/>
      <c r="L34" s="1"/>
      <c r="M34" s="1" t="str">
        <f t="shared" si="1"/>
        <v>#DIV/0!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5" t="s">
        <v>20</v>
      </c>
      <c r="B35" s="6" t="s">
        <v>11</v>
      </c>
      <c r="C35" s="7">
        <v>0.9807</v>
      </c>
      <c r="D35" s="8">
        <v>0.9719</v>
      </c>
      <c r="E35" s="8">
        <v>0.9711</v>
      </c>
      <c r="F35" s="8">
        <v>0.9993</v>
      </c>
      <c r="G35" s="8">
        <v>0.9726</v>
      </c>
      <c r="H35" s="8">
        <v>0.0785</v>
      </c>
      <c r="I35" s="8">
        <v>0.9326</v>
      </c>
      <c r="J35" s="8">
        <v>0.9889</v>
      </c>
      <c r="K35" s="6">
        <v>0.9822</v>
      </c>
      <c r="L35" s="1"/>
      <c r="M35" s="1">
        <f t="shared" si="1"/>
        <v>0.9749125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9"/>
      <c r="B36" s="10" t="s">
        <v>12</v>
      </c>
      <c r="C36" s="11">
        <v>0.9615</v>
      </c>
      <c r="D36" s="12">
        <v>0.9437</v>
      </c>
      <c r="E36" s="12">
        <v>0.9422</v>
      </c>
      <c r="F36" s="12">
        <v>0.9985</v>
      </c>
      <c r="G36" s="12">
        <v>0.9452</v>
      </c>
      <c r="H36" s="12">
        <v>0.0193</v>
      </c>
      <c r="I36" s="12">
        <v>0.8652</v>
      </c>
      <c r="J36" s="12">
        <v>0.9778</v>
      </c>
      <c r="K36" s="10">
        <v>0.9644</v>
      </c>
      <c r="L36" s="1"/>
      <c r="M36" s="1">
        <f t="shared" si="1"/>
        <v>0.9498125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9"/>
      <c r="B37" s="10" t="s">
        <v>13</v>
      </c>
      <c r="C37" s="11">
        <v>0.8844</v>
      </c>
      <c r="D37" s="12">
        <v>0.8311</v>
      </c>
      <c r="E37" s="12">
        <v>0.8267</v>
      </c>
      <c r="F37" s="12">
        <v>0.9956</v>
      </c>
      <c r="G37" s="12">
        <v>0.8356</v>
      </c>
      <c r="H37" s="12">
        <v>0.0</v>
      </c>
      <c r="I37" s="12">
        <v>0.6489</v>
      </c>
      <c r="J37" s="12">
        <v>0.9333</v>
      </c>
      <c r="K37" s="10">
        <v>0.8978</v>
      </c>
      <c r="L37" s="1"/>
      <c r="M37" s="1">
        <f t="shared" si="1"/>
        <v>0.856675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21"/>
      <c r="B38" s="22" t="s">
        <v>14</v>
      </c>
      <c r="C38" s="23">
        <v>0.8074</v>
      </c>
      <c r="D38" s="24">
        <v>0.7185</v>
      </c>
      <c r="E38" s="24">
        <v>0.7111</v>
      </c>
      <c r="F38" s="24">
        <v>0.9926</v>
      </c>
      <c r="G38" s="24">
        <v>0.7259</v>
      </c>
      <c r="H38" s="24">
        <v>0.0</v>
      </c>
      <c r="I38" s="24">
        <v>0.4963</v>
      </c>
      <c r="J38" s="24">
        <v>0.8963</v>
      </c>
      <c r="K38" s="22">
        <v>0.8444</v>
      </c>
      <c r="L38" s="1"/>
      <c r="M38" s="1">
        <f t="shared" si="1"/>
        <v>0.7740625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hidden="1" customHeight="1">
      <c r="A39" s="25"/>
      <c r="B39" s="26"/>
      <c r="C39" s="27"/>
      <c r="D39" s="28"/>
      <c r="E39" s="28"/>
      <c r="F39" s="28"/>
      <c r="G39" s="28"/>
      <c r="H39" s="28"/>
      <c r="I39" s="28"/>
      <c r="J39" s="28"/>
      <c r="K39" s="26"/>
      <c r="L39" s="1"/>
      <c r="M39" s="1" t="str">
        <f t="shared" si="1"/>
        <v>#DIV/0!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29" t="s">
        <v>21</v>
      </c>
      <c r="B40" s="10" t="s">
        <v>11</v>
      </c>
      <c r="C40" s="11">
        <v>0.9822</v>
      </c>
      <c r="D40" s="12">
        <v>0.9719</v>
      </c>
      <c r="E40" s="12">
        <v>0.977</v>
      </c>
      <c r="F40" s="12">
        <v>0.9985</v>
      </c>
      <c r="G40" s="12">
        <v>0.9696</v>
      </c>
      <c r="H40" s="12">
        <v>0.0978</v>
      </c>
      <c r="I40" s="12">
        <v>0.9348</v>
      </c>
      <c r="J40" s="12">
        <v>0.9881</v>
      </c>
      <c r="K40" s="10">
        <v>0.983</v>
      </c>
      <c r="L40" s="1"/>
      <c r="M40" s="1">
        <f t="shared" si="1"/>
        <v>0.9756375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9"/>
      <c r="B41" s="10" t="s">
        <v>12</v>
      </c>
      <c r="C41" s="11">
        <v>0.9644</v>
      </c>
      <c r="D41" s="12">
        <v>0.9437</v>
      </c>
      <c r="E41" s="12">
        <v>0.9541</v>
      </c>
      <c r="F41" s="12">
        <v>0.997</v>
      </c>
      <c r="G41" s="12">
        <v>0.9393</v>
      </c>
      <c r="H41" s="12">
        <v>0.0163</v>
      </c>
      <c r="I41" s="12">
        <v>0.8696</v>
      </c>
      <c r="J41" s="12">
        <v>0.9763</v>
      </c>
      <c r="K41" s="10">
        <v>0.9659</v>
      </c>
      <c r="L41" s="1"/>
      <c r="M41" s="1">
        <f t="shared" si="1"/>
        <v>0.9512875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9"/>
      <c r="B42" s="10" t="s">
        <v>13</v>
      </c>
      <c r="C42" s="11">
        <v>0.8933</v>
      </c>
      <c r="D42" s="12">
        <v>0.8311</v>
      </c>
      <c r="E42" s="12">
        <v>0.8622</v>
      </c>
      <c r="F42" s="12">
        <v>0.9911</v>
      </c>
      <c r="G42" s="12">
        <v>0.8178</v>
      </c>
      <c r="H42" s="12">
        <v>0.0</v>
      </c>
      <c r="I42" s="12">
        <v>0.6489</v>
      </c>
      <c r="J42" s="12">
        <v>0.9289</v>
      </c>
      <c r="K42" s="10">
        <v>0.8978</v>
      </c>
      <c r="L42" s="1"/>
      <c r="M42" s="1">
        <f t="shared" si="1"/>
        <v>0.8588875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21"/>
      <c r="B43" s="22" t="s">
        <v>14</v>
      </c>
      <c r="C43" s="23">
        <v>0.8222</v>
      </c>
      <c r="D43" s="24">
        <v>0.7185</v>
      </c>
      <c r="E43" s="24">
        <v>0.7704</v>
      </c>
      <c r="F43" s="24">
        <v>0.9852</v>
      </c>
      <c r="G43" s="24">
        <v>0.6963</v>
      </c>
      <c r="H43" s="24">
        <v>0.0</v>
      </c>
      <c r="I43" s="24">
        <v>0.4815</v>
      </c>
      <c r="J43" s="24">
        <v>0.8815</v>
      </c>
      <c r="K43" s="22">
        <v>0.837</v>
      </c>
      <c r="L43" s="1"/>
      <c r="M43" s="1">
        <f t="shared" si="1"/>
        <v>0.774075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hidden="1" customHeight="1">
      <c r="A44" s="25"/>
      <c r="B44" s="26"/>
      <c r="C44" s="27"/>
      <c r="D44" s="28"/>
      <c r="E44" s="28"/>
      <c r="F44" s="28"/>
      <c r="G44" s="28"/>
      <c r="H44" s="28"/>
      <c r="I44" s="28"/>
      <c r="J44" s="28"/>
      <c r="K44" s="26"/>
      <c r="L44" s="1"/>
      <c r="M44" s="1" t="str">
        <f t="shared" si="1"/>
        <v>#DIV/0!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29" t="s">
        <v>22</v>
      </c>
      <c r="B45" s="10" t="s">
        <v>11</v>
      </c>
      <c r="C45" s="11">
        <v>0.9793</v>
      </c>
      <c r="D45" s="12">
        <v>0.9741</v>
      </c>
      <c r="E45" s="12">
        <v>0.9711</v>
      </c>
      <c r="F45" s="12">
        <v>0.9993</v>
      </c>
      <c r="G45" s="12">
        <v>0.9637</v>
      </c>
      <c r="H45" s="12">
        <v>0.06</v>
      </c>
      <c r="I45" s="12">
        <v>0.9259</v>
      </c>
      <c r="J45" s="12">
        <v>0.9881</v>
      </c>
      <c r="K45" s="10">
        <v>0.9844</v>
      </c>
      <c r="L45" s="1"/>
      <c r="M45" s="1">
        <f t="shared" si="1"/>
        <v>0.9732375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9"/>
      <c r="B46" s="10" t="s">
        <v>12</v>
      </c>
      <c r="C46" s="11">
        <v>0.9585</v>
      </c>
      <c r="D46" s="12">
        <v>0.9481</v>
      </c>
      <c r="E46" s="12">
        <v>0.9422</v>
      </c>
      <c r="F46" s="12">
        <v>0.9985</v>
      </c>
      <c r="G46" s="12">
        <v>0.9274</v>
      </c>
      <c r="H46" s="12">
        <v>0.0178</v>
      </c>
      <c r="I46" s="12">
        <v>0.8533</v>
      </c>
      <c r="J46" s="12">
        <v>0.9763</v>
      </c>
      <c r="K46" s="10">
        <v>0.9689</v>
      </c>
      <c r="L46" s="1"/>
      <c r="M46" s="1">
        <f t="shared" si="1"/>
        <v>0.94665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9"/>
      <c r="B47" s="10" t="s">
        <v>13</v>
      </c>
      <c r="C47" s="11">
        <v>0.8756</v>
      </c>
      <c r="D47" s="12">
        <v>0.8444</v>
      </c>
      <c r="E47" s="12">
        <v>0.8267</v>
      </c>
      <c r="F47" s="12">
        <v>0.9956</v>
      </c>
      <c r="G47" s="12">
        <v>0.7822</v>
      </c>
      <c r="H47" s="12">
        <v>0.0</v>
      </c>
      <c r="I47" s="12">
        <v>0.6089</v>
      </c>
      <c r="J47" s="12">
        <v>0.9289</v>
      </c>
      <c r="K47" s="10">
        <v>0.9067</v>
      </c>
      <c r="L47" s="1"/>
      <c r="M47" s="1">
        <f t="shared" si="1"/>
        <v>0.846125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21"/>
      <c r="B48" s="22" t="s">
        <v>14</v>
      </c>
      <c r="C48" s="23">
        <v>0.7926</v>
      </c>
      <c r="D48" s="24">
        <v>0.7407</v>
      </c>
      <c r="E48" s="24">
        <v>0.7259</v>
      </c>
      <c r="F48" s="24">
        <v>0.9926</v>
      </c>
      <c r="G48" s="24">
        <v>0.637</v>
      </c>
      <c r="H48" s="24">
        <v>0.0</v>
      </c>
      <c r="I48" s="24">
        <v>0.4444</v>
      </c>
      <c r="J48" s="24">
        <v>0.8815</v>
      </c>
      <c r="K48" s="22">
        <v>0.8593</v>
      </c>
      <c r="L48" s="1"/>
      <c r="M48" s="1">
        <f t="shared" si="1"/>
        <v>0.75925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hidden="1" customHeight="1">
      <c r="A49" s="25"/>
      <c r="B49" s="26"/>
      <c r="C49" s="27"/>
      <c r="D49" s="28"/>
      <c r="E49" s="28"/>
      <c r="F49" s="28"/>
      <c r="G49" s="28"/>
      <c r="H49" s="28"/>
      <c r="I49" s="28"/>
      <c r="J49" s="28"/>
      <c r="K49" s="26"/>
      <c r="L49" s="1"/>
      <c r="M49" s="1" t="str">
        <f t="shared" si="1"/>
        <v>#DIV/0!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29" t="s">
        <v>23</v>
      </c>
      <c r="B50" s="10" t="s">
        <v>11</v>
      </c>
      <c r="C50" s="11">
        <v>0.9785</v>
      </c>
      <c r="D50" s="12">
        <v>0.9689</v>
      </c>
      <c r="E50" s="12">
        <v>0.9652</v>
      </c>
      <c r="F50" s="12">
        <v>0.9978</v>
      </c>
      <c r="G50" s="12">
        <v>0.9681</v>
      </c>
      <c r="H50" s="12">
        <v>0.0711</v>
      </c>
      <c r="I50" s="12">
        <v>0.9259</v>
      </c>
      <c r="J50" s="12">
        <v>0.9911</v>
      </c>
      <c r="K50" s="10">
        <v>0.977</v>
      </c>
      <c r="L50" s="1"/>
      <c r="M50" s="1">
        <f t="shared" si="1"/>
        <v>0.9715625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9"/>
      <c r="B51" s="10" t="s">
        <v>12</v>
      </c>
      <c r="C51" s="11">
        <v>0.957</v>
      </c>
      <c r="D51" s="12">
        <v>0.9378</v>
      </c>
      <c r="E51" s="12">
        <v>0.9304</v>
      </c>
      <c r="F51" s="12">
        <v>0.9956</v>
      </c>
      <c r="G51" s="12">
        <v>0.9363</v>
      </c>
      <c r="H51" s="12">
        <v>0.0356</v>
      </c>
      <c r="I51" s="12">
        <v>0.8533</v>
      </c>
      <c r="J51" s="12">
        <v>0.9822</v>
      </c>
      <c r="K51" s="10">
        <v>0.9541</v>
      </c>
      <c r="L51" s="1"/>
      <c r="M51" s="1">
        <f t="shared" si="1"/>
        <v>0.9433375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9"/>
      <c r="B52" s="10" t="s">
        <v>13</v>
      </c>
      <c r="C52" s="11">
        <v>0.8711</v>
      </c>
      <c r="D52" s="12">
        <v>0.8133</v>
      </c>
      <c r="E52" s="12">
        <v>0.7956</v>
      </c>
      <c r="F52" s="12">
        <v>0.9867</v>
      </c>
      <c r="G52" s="12">
        <v>0.8089</v>
      </c>
      <c r="H52" s="12">
        <v>0.0</v>
      </c>
      <c r="I52" s="12">
        <v>0.6044</v>
      </c>
      <c r="J52" s="12">
        <v>0.9467</v>
      </c>
      <c r="K52" s="10">
        <v>0.8622</v>
      </c>
      <c r="L52" s="1"/>
      <c r="M52" s="1">
        <f t="shared" si="1"/>
        <v>0.8361125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21"/>
      <c r="B53" s="22" t="s">
        <v>14</v>
      </c>
      <c r="C53" s="23">
        <v>0.7852</v>
      </c>
      <c r="D53" s="24">
        <v>0.7037</v>
      </c>
      <c r="E53" s="24">
        <v>0.6741</v>
      </c>
      <c r="F53" s="24">
        <v>0.9778</v>
      </c>
      <c r="G53" s="24">
        <v>0.6815</v>
      </c>
      <c r="H53" s="24">
        <v>0.0</v>
      </c>
      <c r="I53" s="24">
        <v>0.4296</v>
      </c>
      <c r="J53" s="24">
        <v>0.9111</v>
      </c>
      <c r="K53" s="22">
        <v>0.7852</v>
      </c>
      <c r="L53" s="1"/>
      <c r="M53" s="1">
        <f t="shared" si="1"/>
        <v>0.743525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hidden="1" customHeight="1">
      <c r="A54" s="25"/>
      <c r="B54" s="26"/>
      <c r="C54" s="27"/>
      <c r="D54" s="28"/>
      <c r="E54" s="28"/>
      <c r="F54" s="28"/>
      <c r="G54" s="28"/>
      <c r="H54" s="28"/>
      <c r="I54" s="28"/>
      <c r="J54" s="28"/>
      <c r="K54" s="26"/>
      <c r="L54" s="1"/>
      <c r="M54" s="1" t="str">
        <f t="shared" si="1"/>
        <v>#DIV/0!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29" t="s">
        <v>24</v>
      </c>
      <c r="B55" s="10" t="s">
        <v>11</v>
      </c>
      <c r="C55" s="11">
        <v>0.9748</v>
      </c>
      <c r="D55" s="12">
        <v>0.9681</v>
      </c>
      <c r="E55" s="12">
        <v>0.96</v>
      </c>
      <c r="F55" s="12">
        <v>0.9978</v>
      </c>
      <c r="G55" s="12">
        <v>0.963</v>
      </c>
      <c r="H55" s="12">
        <v>0.1467</v>
      </c>
      <c r="I55" s="12">
        <v>0.9267</v>
      </c>
      <c r="J55" s="12">
        <v>0.9859</v>
      </c>
      <c r="K55" s="10">
        <v>0.9667</v>
      </c>
      <c r="L55" s="1"/>
      <c r="M55" s="1">
        <f t="shared" si="1"/>
        <v>0.967875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9"/>
      <c r="B56" s="10" t="s">
        <v>12</v>
      </c>
      <c r="C56" s="11">
        <v>0.9496</v>
      </c>
      <c r="D56" s="12">
        <v>0.9363</v>
      </c>
      <c r="E56" s="12">
        <v>0.92</v>
      </c>
      <c r="F56" s="12">
        <v>0.9956</v>
      </c>
      <c r="G56" s="12">
        <v>0.9259</v>
      </c>
      <c r="H56" s="12">
        <v>0.0281</v>
      </c>
      <c r="I56" s="12">
        <v>0.8533</v>
      </c>
      <c r="J56" s="12">
        <v>0.9719</v>
      </c>
      <c r="K56" s="10">
        <v>0.9333</v>
      </c>
      <c r="L56" s="1"/>
      <c r="M56" s="1">
        <f t="shared" si="1"/>
        <v>0.9357375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9"/>
      <c r="B57" s="10" t="s">
        <v>13</v>
      </c>
      <c r="C57" s="11">
        <v>0.8489</v>
      </c>
      <c r="D57" s="12">
        <v>0.8089</v>
      </c>
      <c r="E57" s="12">
        <v>0.7733</v>
      </c>
      <c r="F57" s="12">
        <v>0.9867</v>
      </c>
      <c r="G57" s="12">
        <v>0.7778</v>
      </c>
      <c r="H57" s="12">
        <v>0.0</v>
      </c>
      <c r="I57" s="12">
        <v>0.6044</v>
      </c>
      <c r="J57" s="12">
        <v>0.9156</v>
      </c>
      <c r="K57" s="10">
        <v>0.8089</v>
      </c>
      <c r="L57" s="1"/>
      <c r="M57" s="1">
        <f t="shared" si="1"/>
        <v>0.8155625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3"/>
      <c r="B58" s="14" t="s">
        <v>14</v>
      </c>
      <c r="C58" s="15">
        <v>0.7481</v>
      </c>
      <c r="D58" s="16">
        <v>0.6815</v>
      </c>
      <c r="E58" s="16">
        <v>0.6593</v>
      </c>
      <c r="F58" s="16">
        <v>0.9778</v>
      </c>
      <c r="G58" s="16">
        <v>0.6444</v>
      </c>
      <c r="H58" s="16">
        <v>0.0</v>
      </c>
      <c r="I58" s="16">
        <v>0.4148</v>
      </c>
      <c r="J58" s="16">
        <v>0.8667</v>
      </c>
      <c r="K58" s="14">
        <v>0.7037</v>
      </c>
      <c r="L58" s="1"/>
      <c r="M58" s="1">
        <f t="shared" si="1"/>
        <v>0.7120375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A40:A43"/>
    <mergeCell ref="A45:A48"/>
    <mergeCell ref="A50:A53"/>
    <mergeCell ref="A55:A58"/>
    <mergeCell ref="A5:A8"/>
    <mergeCell ref="A10:A13"/>
    <mergeCell ref="A15:A18"/>
    <mergeCell ref="A20:A23"/>
    <mergeCell ref="A25:A28"/>
    <mergeCell ref="A30:A33"/>
    <mergeCell ref="A35:A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0"/>
    <col customWidth="1" min="2" max="26" width="8.33"/>
  </cols>
  <sheetData>
    <row r="1" ht="18.0" customHeight="1"/>
    <row r="2" ht="18.0" customHeight="1">
      <c r="B2" s="33"/>
      <c r="C2" s="34" t="s">
        <v>11</v>
      </c>
      <c r="D2" s="35" t="s">
        <v>12</v>
      </c>
      <c r="E2" s="35" t="s">
        <v>13</v>
      </c>
      <c r="F2" s="36" t="s">
        <v>14</v>
      </c>
    </row>
    <row r="3" ht="18.0" customHeight="1">
      <c r="B3" s="37" t="s">
        <v>10</v>
      </c>
      <c r="C3" s="38">
        <v>0.8737444444444444</v>
      </c>
      <c r="D3" s="39">
        <v>0.8452777777777778</v>
      </c>
      <c r="E3" s="39">
        <v>0.7595111111111112</v>
      </c>
      <c r="F3" s="40">
        <v>0.6847777777777778</v>
      </c>
    </row>
    <row r="4" ht="18.0" customHeight="1">
      <c r="B4" s="41" t="s">
        <v>15</v>
      </c>
      <c r="C4" s="42">
        <v>0.8585888888888891</v>
      </c>
      <c r="D4" s="43">
        <v>0.8197555555555556</v>
      </c>
      <c r="E4" s="43">
        <v>0.6933333333333331</v>
      </c>
      <c r="F4" s="44">
        <v>0.6024666666666667</v>
      </c>
    </row>
    <row r="5" ht="18.0" customHeight="1">
      <c r="B5" s="45" t="s">
        <v>16</v>
      </c>
      <c r="C5" s="46">
        <v>0.8564555555555554</v>
      </c>
      <c r="D5" s="47">
        <v>0.8146555555555555</v>
      </c>
      <c r="E5" s="47">
        <v>0.6765444444444444</v>
      </c>
      <c r="F5" s="48">
        <v>0.5786</v>
      </c>
    </row>
    <row r="6" ht="18.0" customHeight="1">
      <c r="B6" s="45" t="s">
        <v>17</v>
      </c>
      <c r="C6" s="46">
        <v>0.8524333333333334</v>
      </c>
      <c r="D6" s="47">
        <v>0.8031333333333335</v>
      </c>
      <c r="E6" s="47">
        <v>0.6479111111111111</v>
      </c>
      <c r="F6" s="48">
        <v>0.5382777777777779</v>
      </c>
    </row>
    <row r="7" ht="18.0" customHeight="1">
      <c r="B7" s="45" t="s">
        <v>18</v>
      </c>
      <c r="C7" s="46">
        <v>0.8413111111111111</v>
      </c>
      <c r="D7" s="47">
        <v>0.7843666666666667</v>
      </c>
      <c r="E7" s="47">
        <v>0.6044444444444445</v>
      </c>
      <c r="F7" s="48">
        <v>0.4913666666666667</v>
      </c>
    </row>
    <row r="8" ht="18.0" customHeight="1">
      <c r="B8" s="49" t="s">
        <v>19</v>
      </c>
      <c r="C8" s="50">
        <v>0.8299777777777778</v>
      </c>
      <c r="D8" s="51">
        <v>0.7539000000000001</v>
      </c>
      <c r="E8" s="51">
        <v>0.5437</v>
      </c>
      <c r="F8" s="52">
        <v>0.4156333333333333</v>
      </c>
    </row>
    <row r="9" ht="18.0" customHeight="1">
      <c r="B9" s="41" t="s">
        <v>20</v>
      </c>
      <c r="C9" s="42">
        <v>0.875311111111111</v>
      </c>
      <c r="D9" s="43">
        <v>0.8464222222222223</v>
      </c>
      <c r="E9" s="43">
        <v>0.761488888888889</v>
      </c>
      <c r="F9" s="44">
        <v>0.6880555555555555</v>
      </c>
    </row>
    <row r="10" ht="18.0" customHeight="1">
      <c r="B10" s="45" t="s">
        <v>21</v>
      </c>
      <c r="C10" s="46">
        <v>0.8781</v>
      </c>
      <c r="D10" s="47">
        <v>0.8473999999999999</v>
      </c>
      <c r="E10" s="47">
        <v>0.7634555555555554</v>
      </c>
      <c r="F10" s="48">
        <v>0.6880666666666666</v>
      </c>
    </row>
    <row r="11" ht="18.0" customHeight="1">
      <c r="B11" s="45" t="s">
        <v>22</v>
      </c>
      <c r="C11" s="46">
        <v>0.8717666666666665</v>
      </c>
      <c r="D11" s="47">
        <v>0.8434444444444444</v>
      </c>
      <c r="E11" s="47">
        <v>0.7521111111111112</v>
      </c>
      <c r="F11" s="48">
        <v>0.6748888888888889</v>
      </c>
    </row>
    <row r="12" ht="18.0" customHeight="1">
      <c r="B12" s="45" t="s">
        <v>23</v>
      </c>
      <c r="C12" s="46">
        <v>0.8715111111111112</v>
      </c>
      <c r="D12" s="47">
        <v>0.8424777777777778</v>
      </c>
      <c r="E12" s="47">
        <v>0.743211111111111</v>
      </c>
      <c r="F12" s="48">
        <v>0.6609111111111111</v>
      </c>
    </row>
    <row r="13" ht="18.0" customHeight="1">
      <c r="B13" s="53" t="s">
        <v>24</v>
      </c>
      <c r="C13" s="54">
        <v>0.8766333333333334</v>
      </c>
      <c r="D13" s="55">
        <v>0.8348888888888888</v>
      </c>
      <c r="E13" s="55">
        <v>0.7249444444444444</v>
      </c>
      <c r="F13" s="56">
        <v>0.6329222222222222</v>
      </c>
    </row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7"/>
      <c r="C2" s="58" t="s">
        <v>11</v>
      </c>
      <c r="D2" s="59" t="s">
        <v>12</v>
      </c>
      <c r="E2" s="59" t="s">
        <v>13</v>
      </c>
      <c r="F2" s="60" t="s">
        <v>14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61" t="s">
        <v>10</v>
      </c>
      <c r="C3" s="62">
        <v>0.97445</v>
      </c>
      <c r="D3" s="63">
        <v>0.9489</v>
      </c>
      <c r="E3" s="63">
        <v>0.8544500000000002</v>
      </c>
      <c r="F3" s="64">
        <v>0.770375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65" t="s">
        <v>15</v>
      </c>
      <c r="C4" s="25">
        <v>0.9603625000000001</v>
      </c>
      <c r="D4" s="28">
        <v>0.9207375</v>
      </c>
      <c r="E4" s="28">
        <v>0.7799999999999998</v>
      </c>
      <c r="F4" s="26">
        <v>0.677775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66" t="s">
        <v>16</v>
      </c>
      <c r="C5" s="67">
        <v>0.9575874999999999</v>
      </c>
      <c r="D5" s="12">
        <v>0.9151874999999999</v>
      </c>
      <c r="E5" s="12">
        <v>0.7611125</v>
      </c>
      <c r="F5" s="10">
        <v>0.650925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66" t="s">
        <v>17</v>
      </c>
      <c r="C6" s="67">
        <v>0.9509375</v>
      </c>
      <c r="D6" s="12">
        <v>0.9018625</v>
      </c>
      <c r="E6" s="12">
        <v>0.7289</v>
      </c>
      <c r="F6" s="10">
        <v>0.6055625000000001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1"/>
      <c r="B7" s="66" t="s">
        <v>18</v>
      </c>
      <c r="C7" s="67">
        <v>0.9404625000000001</v>
      </c>
      <c r="D7" s="12">
        <v>0.880925</v>
      </c>
      <c r="E7" s="12">
        <v>0.68</v>
      </c>
      <c r="F7" s="10">
        <v>0.5527875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1"/>
      <c r="B8" s="68" t="s">
        <v>19</v>
      </c>
      <c r="C8" s="69">
        <v>0.92095</v>
      </c>
      <c r="D8" s="24">
        <v>0.8442500000000001</v>
      </c>
      <c r="E8" s="24">
        <v>0.6116625</v>
      </c>
      <c r="F8" s="22">
        <v>0.46758749999999993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65" t="s">
        <v>20</v>
      </c>
      <c r="C9" s="25">
        <v>0.9749125</v>
      </c>
      <c r="D9" s="28">
        <v>0.9498125000000001</v>
      </c>
      <c r="E9" s="28">
        <v>0.8566750000000001</v>
      </c>
      <c r="F9" s="26">
        <v>0.7740625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1"/>
      <c r="B10" s="66" t="s">
        <v>21</v>
      </c>
      <c r="C10" s="67">
        <v>0.9756374999999999</v>
      </c>
      <c r="D10" s="12">
        <v>0.9512875000000001</v>
      </c>
      <c r="E10" s="12">
        <v>0.8588874999999999</v>
      </c>
      <c r="F10" s="10">
        <v>0.774075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66" t="s">
        <v>22</v>
      </c>
      <c r="C11" s="67">
        <v>0.9732375</v>
      </c>
      <c r="D11" s="12">
        <v>0.94665</v>
      </c>
      <c r="E11" s="12">
        <v>0.846125</v>
      </c>
      <c r="F11" s="10">
        <v>0.75925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66" t="s">
        <v>23</v>
      </c>
      <c r="C12" s="67">
        <v>0.9715625</v>
      </c>
      <c r="D12" s="12">
        <v>0.9433374999999999</v>
      </c>
      <c r="E12" s="12">
        <v>0.8361124999999999</v>
      </c>
      <c r="F12" s="10">
        <v>0.743525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70" t="s">
        <v>24</v>
      </c>
      <c r="C13" s="71">
        <v>0.967875</v>
      </c>
      <c r="D13" s="16">
        <v>0.9357374999999999</v>
      </c>
      <c r="E13" s="16">
        <v>0.8155625</v>
      </c>
      <c r="F13" s="14">
        <v>0.7120374999999999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"/>
      <c r="C15" s="1"/>
      <c r="D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"/>
      <c r="C16" s="1"/>
      <c r="D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2025-10-11T13:22:10Z</dcterms:created>
  <dc:creator>김제희</dc:creator>
</cp:coreProperties>
</file>