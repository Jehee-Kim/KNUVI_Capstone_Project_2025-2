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yh/Desktop/Capstone_1/"/>
    </mc:Choice>
  </mc:AlternateContent>
  <xr:revisionPtr revIDLastSave="0" documentId="13_ncr:1_{6DF16AA4-65E8-E44B-ABFA-1A7C221F8026}" xr6:coauthVersionLast="47" xr6:coauthVersionMax="47" xr10:uidLastSave="{00000000-0000-0000-0000-000000000000}"/>
  <bookViews>
    <workbookView xWindow="160" yWindow="960" windowWidth="33880" windowHeight="19880" xr2:uid="{7453B445-7095-4582-ACAE-BBB40EA0D2E1}"/>
  </bookViews>
  <sheets>
    <sheet name="Gantt" sheetId="4" r:id="rId1"/>
  </sheets>
  <externalReferences>
    <externalReference r:id="rId2"/>
    <externalReference r:id="rId3"/>
    <externalReference r:id="rId4"/>
  </externalReferences>
  <definedNames>
    <definedName name="rng공휴일">OFFSET([1]일정관리!$A$1,,,COUNTA([1]일정관리!$A:$A),3)</definedName>
    <definedName name="rng공휴일날짜">OFFSET([1]일정관리!$A$1,,,COUNTA([1]일정관리!$A:$A))</definedName>
    <definedName name="rng공휴일명">OFFSET([1]일정관리!$C$1,,,COUNTA([1]일정관리!$A:$A))</definedName>
    <definedName name="rng신규메모">INDEX([1]일정관리!$W:$W,MATCH("*",[1]일정관리!$X:$X,-1)+1)</definedName>
    <definedName name="rng신규반복일정">INDEX([1]일정관리!$AA:$AA,MATCH("*",[1]일정관리!$AA:$AA,-1)+1)</definedName>
    <definedName name="rng신규일정">INDEX([1]일정관리!$J:$J,MATCH("*",[1]일정관리!$K:$K,-1)+1)</definedName>
    <definedName name="rng신규휴일">INDEX([1]일정관리!$B:$B,MATCH("*",[1]일정관리!$C:$C,-1)+1)</definedName>
    <definedName name="rng일정">OFFSET([1]일정관리!$J$2,,,COUNTA([1]일정관리!$J:$J)-1)</definedName>
    <definedName name="rng일정명">OFFSET([1]일정관리!$N$2,,,COUNTA([1]일정관리!$J:$J)-1)</definedName>
    <definedName name="rng일정색상">OFFSET([1]일정관리!$M$2,,,COUNTA([1]일정관리!$J:$J)-1)</definedName>
    <definedName name="구분">[2]조건부서식_간트차트_예제!$D1</definedName>
    <definedName name="내일">[2]조건부서식_간트차트_예제!B$5</definedName>
    <definedName name="단위">[2]조건부서식_간트차트_예제!$E$7</definedName>
    <definedName name="달력색상1">[1]달력!$B$5:$AJ$5,[1]달력!$AL$3</definedName>
    <definedName name="색ID">[2]조건부서식_간트차트_예제!$C1</definedName>
    <definedName name="스케쥴">[3]일정표!$P$6:$P$17,[3]일정표!$N$6:$N$17,[3]일정표!$L$6:$L$17,[3]일정표!$J$6:$J$17,[3]일정표!$H$6:$H$17</definedName>
    <definedName name="시작일">[2]조건부서식_간트차트_예제!$K1</definedName>
    <definedName name="오늘">[2]조건부서식_간트차트_예제!A$5</definedName>
    <definedName name="종료일">[2]조건부서식_간트차트_예제!$M1</definedName>
    <definedName name="진행률">[2]조건부서식_간트차트_예제!$N1</definedName>
    <definedName name="진행일">[2]조건부서식_간트차트_예제!$Q1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4" l="1"/>
  <c r="J8" i="4" s="1"/>
  <c r="I18" i="4"/>
  <c r="J18" i="4" s="1"/>
  <c r="I7" i="4"/>
  <c r="J7" i="4" s="1"/>
  <c r="O12" i="4"/>
  <c r="AB7" i="4"/>
  <c r="O7" i="4"/>
  <c r="I5" i="4"/>
  <c r="J5" i="4" s="1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I9" i="4"/>
  <c r="J9" i="4" s="1"/>
  <c r="Q4" i="4"/>
  <c r="T4" i="4" s="1"/>
  <c r="S4" i="4" s="1"/>
  <c r="Q5" i="4" s="1"/>
  <c r="T5" i="4" s="1"/>
  <c r="S5" i="4" s="1"/>
  <c r="T15" i="4"/>
  <c r="S15" i="4" s="1"/>
  <c r="T16" i="4"/>
  <c r="S16" i="4" s="1"/>
  <c r="T17" i="4"/>
  <c r="S17" i="4" s="1"/>
  <c r="U17" i="4"/>
  <c r="U16" i="4" s="1"/>
  <c r="U15" i="4" s="1"/>
  <c r="U14" i="4" s="1"/>
  <c r="U13" i="4" s="1"/>
  <c r="U12" i="4" s="1"/>
  <c r="U11" i="4" s="1"/>
  <c r="U10" i="4" s="1"/>
  <c r="U9" i="4" s="1"/>
  <c r="U8" i="4" s="1"/>
  <c r="U6" i="4" s="1"/>
  <c r="U5" i="4" s="1"/>
  <c r="U4" i="4" s="1"/>
  <c r="T18" i="4"/>
  <c r="S18" i="4" s="1"/>
  <c r="I6" i="4"/>
  <c r="J6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4" i="4"/>
  <c r="J4" i="4" s="1"/>
  <c r="O5" i="4"/>
  <c r="O6" i="4"/>
  <c r="O8" i="4"/>
  <c r="O9" i="4"/>
  <c r="O10" i="4"/>
  <c r="O11" i="4"/>
  <c r="O13" i="4"/>
  <c r="O14" i="4"/>
  <c r="O15" i="4"/>
  <c r="O16" i="4"/>
  <c r="O17" i="4"/>
  <c r="O18" i="4"/>
  <c r="O4" i="4"/>
  <c r="X17" i="4"/>
  <c r="X16" i="4" s="1"/>
  <c r="X15" i="4" s="1"/>
  <c r="X14" i="4" s="1"/>
  <c r="X13" i="4" s="1"/>
  <c r="X12" i="4" s="1"/>
  <c r="X11" i="4" s="1"/>
  <c r="X10" i="4" s="1"/>
  <c r="X9" i="4" s="1"/>
  <c r="X8" i="4" s="1"/>
  <c r="X6" i="4" s="1"/>
  <c r="X5" i="4" s="1"/>
  <c r="X4" i="4" s="1"/>
  <c r="Y17" i="4"/>
  <c r="AB17" i="4" s="1"/>
  <c r="Z17" i="4"/>
  <c r="Y18" i="4"/>
  <c r="AB18" i="4" s="1"/>
  <c r="Z18" i="4"/>
  <c r="AA18" i="4" s="1"/>
  <c r="Y15" i="4"/>
  <c r="Z15" i="4"/>
  <c r="Y16" i="4"/>
  <c r="Z16" i="4"/>
  <c r="L7" i="4" l="1"/>
  <c r="U7" i="4"/>
  <c r="L17" i="4"/>
  <c r="L18" i="4"/>
  <c r="Q6" i="4"/>
  <c r="T6" i="4" s="1"/>
  <c r="Q8" i="4" s="1"/>
  <c r="T8" i="4" s="1"/>
  <c r="S8" i="4" s="1"/>
  <c r="AB16" i="4"/>
  <c r="AB15" i="4"/>
  <c r="AA17" i="4"/>
  <c r="Y5" i="4"/>
  <c r="Y6" i="4"/>
  <c r="Y4" i="4"/>
  <c r="AB4" i="4" s="1"/>
  <c r="L4" i="4"/>
  <c r="AA16" i="4"/>
  <c r="Q9" i="4" l="1"/>
  <c r="T9" i="4" s="1"/>
  <c r="Q10" i="4" s="1"/>
  <c r="S6" i="4"/>
  <c r="AA15" i="4"/>
  <c r="AB6" i="4"/>
  <c r="Y9" i="4"/>
  <c r="AB5" i="4"/>
  <c r="S9" i="4" l="1"/>
  <c r="T10" i="4"/>
  <c r="S10" i="4" s="1"/>
  <c r="Q11" i="4" s="1"/>
  <c r="T11" i="4" s="1"/>
  <c r="L5" i="4"/>
  <c r="Y8" i="4"/>
  <c r="AB8" i="4" s="1"/>
  <c r="Y11" i="4"/>
  <c r="Z14" i="4"/>
  <c r="AA14" i="4" s="1"/>
  <c r="Q12" i="4" l="1"/>
  <c r="T12" i="4" s="1"/>
  <c r="S11" i="4"/>
  <c r="L6" i="4"/>
  <c r="Z13" i="4"/>
  <c r="AA13" i="4" s="1"/>
  <c r="Y10" i="4"/>
  <c r="AB10" i="4" s="1"/>
  <c r="AB9" i="4"/>
  <c r="Q13" i="4" l="1"/>
  <c r="T13" i="4" s="1"/>
  <c r="S12" i="4"/>
  <c r="L9" i="4"/>
  <c r="L8" i="4"/>
  <c r="Z12" i="4"/>
  <c r="AA12" i="4" s="1"/>
  <c r="T14" i="4" l="1"/>
  <c r="S14" i="4" s="1"/>
  <c r="S13" i="4"/>
  <c r="Z10" i="4"/>
  <c r="AA10" i="4" s="1"/>
  <c r="Y12" i="4"/>
  <c r="Z11" i="4" l="1"/>
  <c r="AA11" i="4" s="1"/>
  <c r="L10" i="4"/>
  <c r="AB11" i="4" l="1"/>
  <c r="Z8" i="4"/>
  <c r="AA8" i="4" s="1"/>
  <c r="Z9" i="4"/>
  <c r="AA9" i="4" s="1"/>
  <c r="Z6" i="4" l="1"/>
  <c r="AA6" i="4" s="1"/>
  <c r="Z4" i="4"/>
  <c r="AA4" i="4" s="1"/>
  <c r="Z5" i="4"/>
  <c r="AA5" i="4" s="1"/>
  <c r="L11" i="4" l="1"/>
  <c r="AB12" i="4"/>
  <c r="Y13" i="4" l="1"/>
  <c r="L12" i="4"/>
  <c r="AB13" i="4" l="1"/>
  <c r="Y14" i="4"/>
  <c r="L13" i="4" l="1"/>
  <c r="AB14" i="4"/>
  <c r="L14" i="4" l="1"/>
  <c r="L15" i="4" l="1"/>
  <c r="L16" i="4" l="1"/>
</calcChain>
</file>

<file path=xl/sharedStrings.xml><?xml version="1.0" encoding="utf-8"?>
<sst xmlns="http://schemas.openxmlformats.org/spreadsheetml/2006/main" count="71" uniqueCount="64">
  <si>
    <t>계획</t>
    <phoneticPr fontId="2" type="noConversion"/>
  </si>
  <si>
    <t>진행</t>
    <phoneticPr fontId="2" type="noConversion"/>
  </si>
  <si>
    <t>진행현황</t>
    <phoneticPr fontId="2" type="noConversion"/>
  </si>
  <si>
    <t>X오차이동</t>
    <phoneticPr fontId="2" type="noConversion"/>
  </si>
  <si>
    <t>Y오차이동</t>
    <phoneticPr fontId="2" type="noConversion"/>
  </si>
  <si>
    <t>이전업무위치(Y)</t>
    <phoneticPr fontId="2" type="noConversion"/>
  </si>
  <si>
    <t>이전종료일(X)</t>
    <phoneticPr fontId="2" type="noConversion"/>
  </si>
  <si>
    <t>Y축(0.5)</t>
    <phoneticPr fontId="2" type="noConversion"/>
  </si>
  <si>
    <t>Y축(0.1)</t>
    <phoneticPr fontId="2" type="noConversion"/>
  </si>
  <si>
    <t>완료 예정일</t>
    <phoneticPr fontId="2" type="noConversion"/>
  </si>
  <si>
    <t>실제 소요기간</t>
    <phoneticPr fontId="2" type="noConversion"/>
  </si>
  <si>
    <t>예상 작업기간</t>
    <phoneticPr fontId="2" type="noConversion"/>
  </si>
  <si>
    <t>시작일</t>
  </si>
  <si>
    <t>레이블텍스트</t>
    <phoneticPr fontId="2" type="noConversion"/>
  </si>
  <si>
    <t>레이블더미</t>
    <phoneticPr fontId="2" type="noConversion"/>
  </si>
  <si>
    <t>실제 진행일수</t>
    <phoneticPr fontId="2" type="noConversion"/>
  </si>
  <si>
    <t>완료일</t>
    <phoneticPr fontId="2" type="noConversion"/>
  </si>
  <si>
    <t>소요기간</t>
    <phoneticPr fontId="2" type="noConversion"/>
  </si>
  <si>
    <t>작업기간</t>
    <phoneticPr fontId="2" type="noConversion"/>
  </si>
  <si>
    <t>이전 업무</t>
    <phoneticPr fontId="2" type="noConversion"/>
  </si>
  <si>
    <t>결과물</t>
  </si>
  <si>
    <t>담당자</t>
  </si>
  <si>
    <t>진행업무</t>
  </si>
  <si>
    <t>ID</t>
    <phoneticPr fontId="2" type="noConversion"/>
  </si>
  <si>
    <t>진행흐름표시</t>
    <phoneticPr fontId="2" type="noConversion"/>
  </si>
  <si>
    <t>차트 레이블</t>
    <phoneticPr fontId="2" type="noConversion"/>
  </si>
  <si>
    <t>업무 목록</t>
    <phoneticPr fontId="2" type="noConversion"/>
  </si>
  <si>
    <t>압축 수준별 데이터셋 생성</t>
  </si>
  <si>
    <t>논문 초안 작성</t>
  </si>
  <si>
    <t>김제희</t>
  </si>
  <si>
    <t>이윤호</t>
  </si>
  <si>
    <t>김제희, 배채은</t>
  </si>
  <si>
    <t>데이터셋 리스트</t>
  </si>
  <si>
    <t>압축 수준별 데이터셋</t>
  </si>
  <si>
    <t>학부생</t>
  </si>
  <si>
    <t>실험 결과</t>
  </si>
  <si>
    <t>실험결과 통합본</t>
  </si>
  <si>
    <t>논문 초안</t>
  </si>
  <si>
    <t>최종 보고서</t>
  </si>
  <si>
    <t>국내 학술대회 준비 및 발표</t>
  </si>
  <si>
    <t>11월 소프트웨어 등록</t>
  </si>
  <si>
    <t>배채은, 이윤호</t>
  </si>
  <si>
    <t>성능 향상 모델</t>
  </si>
  <si>
    <t>2D 데이터셋 조사/정리</t>
  </si>
  <si>
    <t>실험 환경 세팅 진행</t>
  </si>
  <si>
    <t>환경 세팅</t>
  </si>
  <si>
    <t>전체 결과 정리</t>
  </si>
  <si>
    <t>중간 보고 및 발표 자료 준비</t>
  </si>
  <si>
    <t>Milestone</t>
  </si>
  <si>
    <t>11월 학술대회 참가</t>
  </si>
  <si>
    <t>최종 발표 자료 준비</t>
  </si>
  <si>
    <t>최종 발표 자료</t>
  </si>
  <si>
    <t>최종 보고서 작성</t>
  </si>
  <si>
    <t>실험 결과</t>
    <phoneticPr fontId="2" type="noConversion"/>
  </si>
  <si>
    <t xml:space="preserve"> </t>
    <phoneticPr fontId="2" type="noConversion"/>
  </si>
  <si>
    <t>중간 발표 자료</t>
    <phoneticPr fontId="2" type="noConversion"/>
  </si>
  <si>
    <t>Milestone</t>
    <phoneticPr fontId="2" type="noConversion"/>
  </si>
  <si>
    <t>10.20. 논문 제출 예정</t>
    <phoneticPr fontId="2" type="noConversion"/>
  </si>
  <si>
    <t>3D part : 3DGS 실험 진행</t>
  </si>
  <si>
    <t>2D part : VGGT 실험 진행</t>
  </si>
  <si>
    <t>배채은</t>
  </si>
  <si>
    <t>논문 최종본 완성 및 제출</t>
  </si>
  <si>
    <t>3D 성능 개선 실험</t>
  </si>
  <si>
    <t>성능 개선 소프트웨어 등록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</si>
</sst>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sz val="11"/>
      <color theme="1"/>
      <name val="프리젠테이션 3 Light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4F8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B4161"/>
        <bgColor indexed="64"/>
      </patternFill>
    </fill>
    <fill>
      <patternFill patternType="solid">
        <fgColor rgb="FF4949C3"/>
        <bgColor indexed="64"/>
      </patternFill>
    </fill>
    <fill>
      <patternFill patternType="solid">
        <fgColor rgb="FF33B398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/>
    </xf>
    <xf numFmtId="0" fontId="3" fillId="2" borderId="2" xfId="0" applyFont="1" applyFill="1" applyBorder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Continuous" vertical="center" wrapText="1"/>
    </xf>
    <xf numFmtId="0" fontId="5" fillId="2" borderId="0" xfId="0" applyFont="1" applyFill="1">
      <alignment vertical="center"/>
    </xf>
    <xf numFmtId="0" fontId="1" fillId="4" borderId="0" xfId="0" applyFont="1" applyFill="1" applyAlignment="1">
      <alignment horizontal="centerContinuous" vertical="center"/>
    </xf>
    <xf numFmtId="0" fontId="1" fillId="5" borderId="0" xfId="0" applyFont="1" applyFill="1" applyAlignment="1">
      <alignment horizontal="centerContinuous" vertical="center"/>
    </xf>
    <xf numFmtId="0" fontId="1" fillId="6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2451879042507"/>
          <c:y val="6.1449015823049541E-2"/>
          <c:w val="0.86221717737414949"/>
          <c:h val="0.9169093156771193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  <a:alpha val="12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Gantt!$L$4:$L$18</c:f>
                <c:numCache>
                  <c:formatCode>General</c:formatCode>
                  <c:ptCount val="15"/>
                  <c:pt idx="0">
                    <c:v>5</c:v>
                  </c:pt>
                  <c:pt idx="1">
                    <c:v>7</c:v>
                  </c:pt>
                  <c:pt idx="2">
                    <c:v>3</c:v>
                  </c:pt>
                  <c:pt idx="3">
                    <c:v>10</c:v>
                  </c:pt>
                  <c:pt idx="4">
                    <c:v>10</c:v>
                  </c:pt>
                  <c:pt idx="5">
                    <c:v>9</c:v>
                  </c:pt>
                  <c:pt idx="6">
                    <c:v>2.2000000000000002</c:v>
                  </c:pt>
                  <c:pt idx="7">
                    <c:v>0</c:v>
                  </c:pt>
                  <c:pt idx="8">
                    <c:v>2.5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3350" cap="flat" cmpd="sng" algn="ctr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Gantt!$G$4:$G$18</c:f>
              <c:numCache>
                <c:formatCode>m/d/yy</c:formatCode>
                <c:ptCount val="15"/>
                <c:pt idx="0">
                  <c:v>45901</c:v>
                </c:pt>
                <c:pt idx="1">
                  <c:v>45906</c:v>
                </c:pt>
                <c:pt idx="2">
                  <c:v>45906</c:v>
                </c:pt>
                <c:pt idx="3">
                  <c:v>45913</c:v>
                </c:pt>
                <c:pt idx="4">
                  <c:v>45913</c:v>
                </c:pt>
                <c:pt idx="5">
                  <c:v>45913</c:v>
                </c:pt>
                <c:pt idx="6">
                  <c:v>45920</c:v>
                </c:pt>
                <c:pt idx="7">
                  <c:v>45942</c:v>
                </c:pt>
                <c:pt idx="8">
                  <c:v>45920</c:v>
                </c:pt>
                <c:pt idx="9">
                  <c:v>45970</c:v>
                </c:pt>
                <c:pt idx="10">
                  <c:v>45950</c:v>
                </c:pt>
                <c:pt idx="11">
                  <c:v>45971</c:v>
                </c:pt>
                <c:pt idx="12">
                  <c:v>45981</c:v>
                </c:pt>
                <c:pt idx="13">
                  <c:v>45991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0-604F-87BF-A81F2C47639D}"/>
            </c:ext>
          </c:extLst>
        </c:ser>
        <c:ser>
          <c:idx val="1"/>
          <c:order val="1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Gantt!$I$4:$I$18</c:f>
              <c:numCache>
                <c:formatCode>#,##0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22</c:v>
                </c:pt>
                <c:pt idx="7">
                  <c:v>8</c:v>
                </c:pt>
                <c:pt idx="8">
                  <c:v>50</c:v>
                </c:pt>
                <c:pt idx="9">
                  <c:v>7</c:v>
                </c:pt>
                <c:pt idx="10">
                  <c:v>30</c:v>
                </c:pt>
                <c:pt idx="11">
                  <c:v>20</c:v>
                </c:pt>
                <c:pt idx="12">
                  <c:v>10</c:v>
                </c:pt>
                <c:pt idx="13">
                  <c:v>15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0-604F-87BF-A81F2C47639D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734C60C-38CF-5342-B4C0-B1236231DA4A}" type="CELLRANGE">
                      <a:rPr lang="en-US" altLang="ko-KR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E80-604F-87BF-A81F2C4763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5426B7-1456-EB4E-B559-CF0009352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80-604F-87BF-A81F2C4763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3A2716-8D64-3C46-B034-417C737FC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80-604F-87BF-A81F2C4763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9BD5C3-C57A-0F48-829F-DEBC9D606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80-604F-87BF-A81F2C4763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D06076-77A7-A749-B040-CF2055289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80-604F-87BF-A81F2C4763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8D9185-3AD8-3F4F-B38A-1EF22FE27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80-604F-87BF-A81F2C4763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499F8A-0BE2-C04D-9CD9-38CBF970C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80-604F-87BF-A81F2C4763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5243E3-DB55-F34F-9931-89D30DD97BB6}" type="CELLRANGE">
                      <a:rPr lang="en-US" altLang="ko-KR" i="1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E80-604F-87BF-A81F2C47639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F8C7972-B5EA-4B42-918C-D9F2D41F4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80-604F-87BF-A81F2C47639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C290C08-D1C4-F348-B37C-AFFE99960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80-604F-87BF-A81F2C47639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C12DAC-0515-1B49-A6AD-B79FDE329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80-604F-87BF-A81F2C47639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B982083-6569-B643-A909-29FE79CBA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80-604F-87BF-A81F2C47639D}"/>
                </c:ext>
              </c:extLst>
            </c:dLbl>
            <c:dLbl>
              <c:idx val="1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1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611BE91-F227-6F44-9108-921BB1563185}" type="CELLRANGE">
                      <a:rPr lang="en-US"/>
                      <a:pPr>
                        <a:defRPr sz="1800" b="1" i="1"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1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80-604F-87BF-A81F2C47639D}"/>
                </c:ext>
              </c:extLst>
            </c:dLbl>
            <c:dLbl>
              <c:idx val="1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800" b="1" i="1" u="none" strike="noStrike" kern="1200" baseline="0">
                        <a:solidFill>
                          <a:schemeClr val="accent6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8584904-0902-504F-AA83-8BAFAC751BCC}" type="CELLRANGE">
                      <a:rPr lang="en-US"/>
                      <a:pPr>
                        <a:defRPr sz="1800" b="1" i="1">
                          <a:solidFill>
                            <a:schemeClr val="accent6">
                              <a:lumMod val="5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1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80-604F-87BF-A81F2C47639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CB0FAEE-37D6-9045-9147-AF2F0E3772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80-604F-87BF-A81F2C4763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Gantt!$C$4:$C$18</c:f>
              <c:strCache>
                <c:ptCount val="14"/>
                <c:pt idx="0">
                  <c:v>2D 데이터셋 조사/정리</c:v>
                </c:pt>
                <c:pt idx="1">
                  <c:v>압축 수준별 데이터셋 생성</c:v>
                </c:pt>
                <c:pt idx="2">
                  <c:v>실험 환경 세팅 진행</c:v>
                </c:pt>
                <c:pt idx="3">
                  <c:v>3D part : 3DGS 실험 진행</c:v>
                </c:pt>
                <c:pt idx="4">
                  <c:v>2D part : VGGT 실험 진행</c:v>
                </c:pt>
                <c:pt idx="5">
                  <c:v>전체 결과 정리</c:v>
                </c:pt>
                <c:pt idx="6">
                  <c:v>논문 초안 작성</c:v>
                </c:pt>
                <c:pt idx="7">
                  <c:v>논문 최종본 완성 및 제출</c:v>
                </c:pt>
                <c:pt idx="8">
                  <c:v>중간 보고 및 발표 자료 준비</c:v>
                </c:pt>
                <c:pt idx="9">
                  <c:v>최종 발표 자료 준비</c:v>
                </c:pt>
                <c:pt idx="10">
                  <c:v>3D 성능 개선 실험</c:v>
                </c:pt>
                <c:pt idx="11">
                  <c:v>국내 학술대회 준비 및 발표</c:v>
                </c:pt>
                <c:pt idx="12">
                  <c:v>성능 개선 소프트웨어 등록</c:v>
                </c:pt>
                <c:pt idx="13">
                  <c:v>최종 보고서 작성</c:v>
                </c:pt>
              </c:strCache>
            </c:strRef>
          </c:cat>
          <c:val>
            <c:numRef>
              <c:f>Gantt!$M$4:$M$18</c:f>
              <c:numCache>
                <c:formatCode>#,##0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Gantt!$O$4:$O$18</c15:f>
                <c15:dlblRangeCache>
                  <c:ptCount val="15"/>
                  <c:pt idx="0">
                    <c:v>데이터셋 리스트 [김제희]</c:v>
                  </c:pt>
                  <c:pt idx="1">
                    <c:v>압축 수준별 데이터셋 [김제희]</c:v>
                  </c:pt>
                  <c:pt idx="2">
                    <c:v>환경 세팅 [배채은, 이윤호]</c:v>
                  </c:pt>
                  <c:pt idx="3">
                    <c:v>실험 결과 [배채은]</c:v>
                  </c:pt>
                  <c:pt idx="4">
                    <c:v>실험 결과 [김제희]</c:v>
                  </c:pt>
                  <c:pt idx="5">
                    <c:v>실험결과 통합본 [이윤호]</c:v>
                  </c:pt>
                  <c:pt idx="6">
                    <c:v>논문 초안 [김제희, 배채은]</c:v>
                  </c:pt>
                  <c:pt idx="7">
                    <c:v>10.20. 논문 제출 예정 [Milestone]</c:v>
                  </c:pt>
                  <c:pt idx="8">
                    <c:v>중간 발표 자료 [학부생]</c:v>
                  </c:pt>
                  <c:pt idx="9">
                    <c:v>최종 발표 자료 [이윤호]</c:v>
                  </c:pt>
                  <c:pt idx="10">
                    <c:v>성능 향상 모델 [학부생]</c:v>
                  </c:pt>
                  <c:pt idx="11">
                    <c:v>11월 학술대회 참가 [Milestone]</c:v>
                  </c:pt>
                  <c:pt idx="12">
                    <c:v>11월 소프트웨어 등록 [Milestone]</c:v>
                  </c:pt>
                  <c:pt idx="13">
                    <c:v>최종 보고서 [학부생]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E80-604F-87BF-A81F2C47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100"/>
        <c:axId val="1586660688"/>
        <c:axId val="1586673168"/>
      </c:barChart>
      <c:scatterChart>
        <c:scatterStyle val="lineMarker"/>
        <c:varyColors val="0"/>
        <c:ser>
          <c:idx val="3"/>
          <c:order val="3"/>
          <c:tx>
            <c:v>계획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Gantt!$Q$4:$Q$18</c:f>
              <c:numCache>
                <c:formatCode>m/d/yy</c:formatCode>
                <c:ptCount val="15"/>
                <c:pt idx="0">
                  <c:v>45835</c:v>
                </c:pt>
                <c:pt idx="1">
                  <c:v>45866</c:v>
                </c:pt>
                <c:pt idx="2">
                  <c:v>45867</c:v>
                </c:pt>
                <c:pt idx="3">
                  <c:v>45868</c:v>
                </c:pt>
                <c:pt idx="4">
                  <c:v>45900</c:v>
                </c:pt>
                <c:pt idx="5">
                  <c:v>45900</c:v>
                </c:pt>
                <c:pt idx="6">
                  <c:v>45922</c:v>
                </c:pt>
                <c:pt idx="7">
                  <c:v>45953</c:v>
                </c:pt>
                <c:pt idx="8">
                  <c:v>45971</c:v>
                </c:pt>
                <c:pt idx="9">
                  <c:v>45996</c:v>
                </c:pt>
                <c:pt idx="10">
                  <c:v>46010</c:v>
                </c:pt>
                <c:pt idx="11">
                  <c:v>46011</c:v>
                </c:pt>
                <c:pt idx="12">
                  <c:v>46012</c:v>
                </c:pt>
                <c:pt idx="13">
                  <c:v>46013</c:v>
                </c:pt>
                <c:pt idx="14">
                  <c:v>46014</c:v>
                </c:pt>
              </c:numCache>
            </c:numRef>
          </c:xVal>
          <c:yVal>
            <c:numRef>
              <c:f>Gantt!$U$4:$U$18</c:f>
              <c:numCache>
                <c:formatCode>General</c:formatCode>
                <c:ptCount val="15"/>
                <c:pt idx="0">
                  <c:v>13.1</c:v>
                </c:pt>
                <c:pt idx="1">
                  <c:v>12.1</c:v>
                </c:pt>
                <c:pt idx="2">
                  <c:v>11.1</c:v>
                </c:pt>
                <c:pt idx="3">
                  <c:v>10.1</c:v>
                </c:pt>
                <c:pt idx="4">
                  <c:v>10.1</c:v>
                </c:pt>
                <c:pt idx="5">
                  <c:v>9.1</c:v>
                </c:pt>
                <c:pt idx="6">
                  <c:v>8.1</c:v>
                </c:pt>
                <c:pt idx="7">
                  <c:v>7.1</c:v>
                </c:pt>
                <c:pt idx="8">
                  <c:v>6.1</c:v>
                </c:pt>
                <c:pt idx="9">
                  <c:v>5.0999999999999996</c:v>
                </c:pt>
                <c:pt idx="10">
                  <c:v>4.0999999999999996</c:v>
                </c:pt>
                <c:pt idx="11">
                  <c:v>3.1</c:v>
                </c:pt>
                <c:pt idx="12">
                  <c:v>2.1</c:v>
                </c:pt>
                <c:pt idx="13">
                  <c:v>1.1000000000000001</c:v>
                </c:pt>
                <c:pt idx="1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E80-604F-87BF-A81F2C47639D}"/>
            </c:ext>
          </c:extLst>
        </c:ser>
        <c:ser>
          <c:idx val="5"/>
          <c:order val="4"/>
          <c:tx>
            <c:v>업무흐름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plus"/>
            <c:errValType val="cust"/>
            <c:noEndCap val="1"/>
            <c:plus>
              <c:numRef>
                <c:f>Gantt!$AB$4:$AB$18</c:f>
                <c:numCache>
                  <c:formatCode>General</c:formatCod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45913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  <a:tailEnd type="triangle" w="lg" len="lg"/>
              </a:ln>
              <a:effectLst/>
            </c:spPr>
          </c:errBars>
          <c:errBars>
            <c:errDir val="y"/>
            <c:errBarType val="plus"/>
            <c:errValType val="cust"/>
            <c:noEndCap val="1"/>
            <c:plus>
              <c:numRef>
                <c:f>Gantt!$AA$4:$AA$18</c:f>
                <c:numCache>
                  <c:formatCode>General</c:formatCode>
                  <c:ptCount val="1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0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54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Gantt!$Y$4:$Y$18</c:f>
              <c:numCache>
                <c:formatCode>m/d/yy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Gantt!$X$4:$X$18</c:f>
              <c:numCache>
                <c:formatCode>General</c:formatCode>
                <c:ptCount val="15"/>
                <c:pt idx="0">
                  <c:v>13.5</c:v>
                </c:pt>
                <c:pt idx="1">
                  <c:v>12.5</c:v>
                </c:pt>
                <c:pt idx="2">
                  <c:v>11.5</c:v>
                </c:pt>
                <c:pt idx="4">
                  <c:v>10.5</c:v>
                </c:pt>
                <c:pt idx="5">
                  <c:v>9.5</c:v>
                </c:pt>
                <c:pt idx="6">
                  <c:v>8.5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</c:v>
                </c:pt>
                <c:pt idx="11">
                  <c:v>3.5</c:v>
                </c:pt>
                <c:pt idx="12">
                  <c:v>2.5</c:v>
                </c:pt>
                <c:pt idx="13">
                  <c:v>1.5</c:v>
                </c:pt>
                <c:pt idx="14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E80-604F-87BF-A81F2C47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765695"/>
        <c:axId val="1452761375"/>
      </c:scatterChart>
      <c:catAx>
        <c:axId val="1586660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73168"/>
        <c:crossesAt val="45901"/>
        <c:auto val="1"/>
        <c:lblAlgn val="ctr"/>
        <c:lblOffset val="100"/>
        <c:noMultiLvlLbl val="0"/>
      </c:catAx>
      <c:valAx>
        <c:axId val="1586673168"/>
        <c:scaling>
          <c:orientation val="minMax"/>
          <c:max val="46015"/>
          <c:min val="459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/dd" sourceLinked="0"/>
        <c:majorTickMark val="none"/>
        <c:minorTickMark val="none"/>
        <c:tickLblPos val="nextTo"/>
        <c:spPr>
          <a:noFill/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6660688"/>
        <c:crosses val="autoZero"/>
        <c:crossBetween val="between"/>
        <c:majorUnit val="6"/>
        <c:minorUnit val="2"/>
      </c:valAx>
      <c:valAx>
        <c:axId val="1452761375"/>
        <c:scaling>
          <c:orientation val="minMax"/>
          <c:max val="14"/>
        </c:scaling>
        <c:delete val="1"/>
        <c:axPos val="r"/>
        <c:numFmt formatCode="General" sourceLinked="1"/>
        <c:majorTickMark val="out"/>
        <c:minorTickMark val="none"/>
        <c:tickLblPos val="nextTo"/>
        <c:crossAx val="1452765695"/>
        <c:crosses val="max"/>
        <c:crossBetween val="midCat"/>
      </c:valAx>
      <c:valAx>
        <c:axId val="1452765695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52761375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294193</xdr:colOff>
      <xdr:row>19</xdr:row>
      <xdr:rowOff>4604</xdr:rowOff>
    </xdr:from>
    <xdr:to>
      <xdr:col>51</xdr:col>
      <xdr:colOff>201385</xdr:colOff>
      <xdr:row>55</xdr:row>
      <xdr:rowOff>229507</xdr:rowOff>
    </xdr:to>
    <xdr:graphicFrame macro="">
      <xdr:nvGraphicFramePr>
        <xdr:cNvPr id="3" name="차트 1">
          <a:extLst>
            <a:ext uri="{FF2B5EF4-FFF2-40B4-BE49-F238E27FC236}">
              <a16:creationId xmlns:a16="http://schemas.microsoft.com/office/drawing/2014/main" id="{878E72D8-9323-E849-81A7-6FC61FB8F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0724;&#48736;&#46160;&#50641;&#49472;/Google%20&#46300;&#46972;&#51060;&#48652;/&#47928;&#49436;&#49436;&#49885;/&#50641;&#49472;%20&#45804;&#47141;%20&#51088;&#46041;&#54868;%20&#50577;&#49885;/&#50641;&#49472;%20&#44277;&#55092;&#51068;%20&#51068;&#51221;%20&#51088;&#46041;&#54868;%20&#45804;&#47141;%20v1.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ppad/Dropbox/9.%20&#45236;%20&#46300;&#47213;&#48149;&#49828;/@.%20%23&#50724;&#48736;&#46160;/@%20&#50641;&#49472;%20-%20&#50689;&#49345;&#44053;&#51032;/0a_&#46972;&#51060;&#48652;%20&#48169;&#49569;%20&#50696;&#51228;/214&#54924;%20-%20&#50641;&#49472;%20&#51088;&#46041;&#54868;%20&#44036;&#53944;&#52264;&#53944;%20&#47564;&#46308;&#44592;/&#50641;&#49472;LIVE214&#54924;%20-%20&#50641;&#49472;%20&#51088;&#46041;&#54868;%20&#44036;&#53944;&#52264;&#53944;%20&#47564;&#46308;&#44592;%20-%20&#50756;&#49457;&#54028;&#51068;.xlsx" TargetMode="External"/><Relationship Id="rId1" Type="http://schemas.openxmlformats.org/officeDocument/2006/relationships/externalLinkPath" Target="file:///C:/Users/oppad/Dropbox/9.%20&#45236;%20&#46300;&#47213;&#48149;&#49828;/@.%20%23&#50724;&#48736;&#46160;/@%20&#50641;&#49472;%20-%20&#50689;&#49345;&#44053;&#51032;/0a_&#46972;&#51060;&#48652;%20&#48169;&#49569;%20&#50696;&#51228;/214&#54924;%20-%20&#50641;&#49472;%20&#51088;&#46041;&#54868;%20&#44036;&#53944;&#52264;&#53944;%20&#47564;&#46308;&#44592;/&#50641;&#49472;LIVE214&#54924;%20-%20&#50641;&#49472;%20&#51088;&#46041;&#54868;%20&#44036;&#53944;&#52264;&#53944;%20&#47564;&#46308;&#44592;%20-%20&#50756;&#49457;&#54028;&#510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ppadu/Desktop/&#50641;&#49472;%20&#51068;&#51221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달력"/>
      <sheetName val="일정관리"/>
      <sheetName val="설정"/>
      <sheetName val="연결이미지"/>
    </sheetNames>
    <sheetDataSet>
      <sheetData sheetId="0">
        <row r="3">
          <cell r="AL3" t="str">
            <v>2020년 3월 달력</v>
          </cell>
        </row>
        <row r="5">
          <cell r="B5" t="str">
            <v>Sun</v>
          </cell>
          <cell r="G5" t="str">
            <v>Mon</v>
          </cell>
          <cell r="L5" t="str">
            <v>Tue</v>
          </cell>
          <cell r="Q5" t="str">
            <v>Wed</v>
          </cell>
          <cell r="V5" t="str">
            <v>Thu</v>
          </cell>
          <cell r="AA5" t="str">
            <v>Fri</v>
          </cell>
          <cell r="AF5" t="str">
            <v>Sat</v>
          </cell>
        </row>
      </sheetData>
      <sheetData sheetId="1">
        <row r="1">
          <cell r="A1" t="str">
            <v>1900-01-02</v>
          </cell>
          <cell r="B1" t="str">
            <v>1</v>
          </cell>
          <cell r="C1" t="str">
            <v>0</v>
          </cell>
          <cell r="J1" t="str">
            <v>일정</v>
          </cell>
          <cell r="K1" t="str">
            <v>아이콘</v>
          </cell>
          <cell r="W1" t="str">
            <v>메모일</v>
          </cell>
          <cell r="X1" t="str">
            <v>메모</v>
          </cell>
          <cell r="AA1" t="str">
            <v>요일</v>
          </cell>
        </row>
        <row r="2">
          <cell r="A2">
            <v>43831</v>
          </cell>
          <cell r="B2">
            <v>43831</v>
          </cell>
          <cell r="C2" t="str">
            <v>신정</v>
          </cell>
          <cell r="J2">
            <v>43878</v>
          </cell>
          <cell r="K2" t="str">
            <v>📷</v>
          </cell>
          <cell r="M2" t="str">
            <v>초록</v>
          </cell>
          <cell r="N2" t="str">
            <v>📷 영상 촬영</v>
          </cell>
          <cell r="W2">
            <v>43845</v>
          </cell>
          <cell r="X2" t="str">
            <v>마케팅 본부 김영식 팀장님 안부인사 드리기</v>
          </cell>
          <cell r="AA2" t="str">
            <v>월</v>
          </cell>
        </row>
        <row r="3">
          <cell r="A3">
            <v>43854</v>
          </cell>
          <cell r="B3">
            <v>43854</v>
          </cell>
          <cell r="C3" t="str">
            <v>설날</v>
          </cell>
          <cell r="J3">
            <v>43880</v>
          </cell>
          <cell r="K3" t="str">
            <v>✏️</v>
          </cell>
          <cell r="W3">
            <v>43862</v>
          </cell>
          <cell r="X3" t="str">
            <v>중국 베이징 관련 담당자 메일 통보</v>
          </cell>
          <cell r="AA3" t="str">
            <v>수</v>
          </cell>
        </row>
        <row r="4">
          <cell r="A4">
            <v>43855</v>
          </cell>
          <cell r="B4">
            <v>43855</v>
          </cell>
          <cell r="C4" t="str">
            <v>설날</v>
          </cell>
          <cell r="J4">
            <v>43881</v>
          </cell>
          <cell r="K4" t="str">
            <v>🎁</v>
          </cell>
          <cell r="W4">
            <v>43864</v>
          </cell>
          <cell r="X4" t="str">
            <v>김상혁 상무님께 출장품의 최종검토 필요</v>
          </cell>
        </row>
        <row r="5">
          <cell r="A5">
            <v>43856</v>
          </cell>
          <cell r="B5">
            <v>43856</v>
          </cell>
          <cell r="C5" t="str">
            <v>설날</v>
          </cell>
          <cell r="J5">
            <v>43886</v>
          </cell>
          <cell r="K5" t="str">
            <v>🎁</v>
          </cell>
          <cell r="W5">
            <v>43876</v>
          </cell>
          <cell r="X5" t="str">
            <v>편집자 회의 후 후속조치 항목 정리</v>
          </cell>
        </row>
        <row r="6">
          <cell r="A6">
            <v>43891</v>
          </cell>
          <cell r="B6">
            <v>43891</v>
          </cell>
          <cell r="C6" t="str">
            <v>삼일절</v>
          </cell>
          <cell r="J6">
            <v>43887</v>
          </cell>
          <cell r="K6" t="str">
            <v>💻</v>
          </cell>
          <cell r="W6">
            <v>43874</v>
          </cell>
          <cell r="X6" t="str">
            <v>마케팅 회의 담당부서 회의록 초안 취합</v>
          </cell>
        </row>
        <row r="7">
          <cell r="A7">
            <v>43956</v>
          </cell>
          <cell r="B7">
            <v>43956</v>
          </cell>
          <cell r="C7" t="str">
            <v>어린이날</v>
          </cell>
          <cell r="J7">
            <v>43888</v>
          </cell>
          <cell r="K7" t="str">
            <v>✔️</v>
          </cell>
          <cell r="W7">
            <v>43885</v>
          </cell>
          <cell r="X7" t="str">
            <v>마케팅 회의 관련 팀장 미팅 일정 공지</v>
          </cell>
        </row>
        <row r="8">
          <cell r="A8">
            <v>43951</v>
          </cell>
          <cell r="B8">
            <v>43951</v>
          </cell>
          <cell r="C8" t="str">
            <v>석가탄신일</v>
          </cell>
          <cell r="J8">
            <v>43889</v>
          </cell>
          <cell r="K8" t="str">
            <v>✔️</v>
          </cell>
          <cell r="W8">
            <v>43878</v>
          </cell>
          <cell r="X8" t="str">
            <v>회장님 골프 일정 확인</v>
          </cell>
        </row>
        <row r="9">
          <cell r="A9">
            <v>43988</v>
          </cell>
          <cell r="B9">
            <v>43988</v>
          </cell>
          <cell r="C9" t="str">
            <v>현충일</v>
          </cell>
          <cell r="J9">
            <v>43889</v>
          </cell>
          <cell r="K9" t="str">
            <v>💻</v>
          </cell>
        </row>
        <row r="10">
          <cell r="A10">
            <v>44058</v>
          </cell>
          <cell r="B10">
            <v>44058</v>
          </cell>
          <cell r="C10" t="str">
            <v>광복절</v>
          </cell>
          <cell r="J10">
            <v>43891</v>
          </cell>
          <cell r="K10" t="str">
            <v>📝</v>
          </cell>
        </row>
        <row r="11">
          <cell r="A11">
            <v>44104</v>
          </cell>
          <cell r="B11">
            <v>44104</v>
          </cell>
          <cell r="C11" t="str">
            <v>추석</v>
          </cell>
          <cell r="J11">
            <v>43891</v>
          </cell>
          <cell r="K11" t="str">
            <v>📽</v>
          </cell>
        </row>
        <row r="12">
          <cell r="A12">
            <v>44105</v>
          </cell>
          <cell r="B12">
            <v>44105</v>
          </cell>
          <cell r="C12" t="str">
            <v>추석</v>
          </cell>
          <cell r="J12">
            <v>43891</v>
          </cell>
          <cell r="K12" t="str">
            <v>📝</v>
          </cell>
        </row>
        <row r="13">
          <cell r="A13">
            <v>44106</v>
          </cell>
          <cell r="B13">
            <v>44106</v>
          </cell>
          <cell r="C13" t="str">
            <v>추석</v>
          </cell>
          <cell r="J13">
            <v>43892</v>
          </cell>
          <cell r="K13" t="str">
            <v>📝</v>
          </cell>
        </row>
        <row r="14">
          <cell r="A14">
            <v>44107</v>
          </cell>
          <cell r="B14">
            <v>44107</v>
          </cell>
          <cell r="C14" t="str">
            <v>개천절</v>
          </cell>
          <cell r="J14">
            <v>43898</v>
          </cell>
          <cell r="K14" t="str">
            <v>✏️</v>
          </cell>
        </row>
        <row r="15">
          <cell r="A15">
            <v>44113</v>
          </cell>
          <cell r="B15">
            <v>44113</v>
          </cell>
          <cell r="C15" t="str">
            <v>한글날</v>
          </cell>
          <cell r="J15">
            <v>43909</v>
          </cell>
          <cell r="K15" t="str">
            <v>⏰</v>
          </cell>
        </row>
        <row r="16">
          <cell r="A16">
            <v>44190</v>
          </cell>
          <cell r="B16">
            <v>44190</v>
          </cell>
          <cell r="C16" t="str">
            <v>성탄절</v>
          </cell>
          <cell r="J16">
            <v>43917</v>
          </cell>
          <cell r="K16" t="str">
            <v>📝</v>
          </cell>
        </row>
        <row r="17">
          <cell r="A17" t="str">
            <v>1900-01-02</v>
          </cell>
          <cell r="B17" t="str">
            <v>1</v>
          </cell>
          <cell r="C17" t="str">
            <v>02</v>
          </cell>
          <cell r="J17">
            <v>43864</v>
          </cell>
          <cell r="K17" t="str">
            <v>⏰</v>
          </cell>
        </row>
        <row r="18">
          <cell r="A18">
            <v>43893</v>
          </cell>
          <cell r="B18">
            <v>43893</v>
          </cell>
          <cell r="C18" t="str">
            <v>회사창립일</v>
          </cell>
        </row>
        <row r="19">
          <cell r="A19">
            <v>43911</v>
          </cell>
          <cell r="B19">
            <v>43911</v>
          </cell>
          <cell r="C19" t="str">
            <v>어머님 생신</v>
          </cell>
        </row>
        <row r="20">
          <cell r="A20">
            <v>43915</v>
          </cell>
          <cell r="B20">
            <v>43915</v>
          </cell>
          <cell r="C20" t="str">
            <v>결혼기념일</v>
          </cell>
        </row>
        <row r="21">
          <cell r="A21">
            <v>43926</v>
          </cell>
          <cell r="B21">
            <v>43560</v>
          </cell>
          <cell r="C21" t="str">
            <v>식목일</v>
          </cell>
        </row>
        <row r="22">
          <cell r="A22">
            <v>44174</v>
          </cell>
          <cell r="B22">
            <v>43078</v>
          </cell>
          <cell r="C22" t="str">
            <v>오빠두설립일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진행흐름_간트차트_예제"/>
      <sheetName val="조건부서식_간트차트_예제"/>
      <sheetName val="조건부서식예제(저사양PC용)"/>
      <sheetName val="색상정의"/>
      <sheetName val="✨보충강의"/>
    </sheetNames>
    <sheetDataSet>
      <sheetData sheetId="0"/>
      <sheetData sheetId="1">
        <row r="7">
          <cell r="E7" t="str">
            <v>일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정표"/>
    </sheetNames>
    <sheetDataSet>
      <sheetData sheetId="0">
        <row r="6">
          <cell r="H6" t="str">
            <v/>
          </cell>
          <cell r="J6" t="str">
            <v/>
          </cell>
          <cell r="L6" t="str">
            <v/>
          </cell>
          <cell r="N6" t="str">
            <v>📷 주변 여행지 관광</v>
          </cell>
          <cell r="P6" t="str">
            <v/>
          </cell>
        </row>
        <row r="7">
          <cell r="H7" t="str">
            <v>✈️ 숙소 도착 및 개인짐 정리</v>
          </cell>
          <cell r="J7" t="str">
            <v/>
          </cell>
          <cell r="L7" t="str">
            <v>🎤 부서별 개선사항 회의 및 발표준비</v>
          </cell>
          <cell r="N7" t="str">
            <v/>
          </cell>
          <cell r="P7" t="str">
            <v>📝 올해의 VIP 수상</v>
          </cell>
        </row>
        <row r="8">
          <cell r="H8" t="str">
            <v/>
          </cell>
          <cell r="J8" t="str">
            <v>✏️ 신규 재고관리 체계 논의</v>
          </cell>
          <cell r="L8" t="str">
            <v/>
          </cell>
          <cell r="N8" t="str">
            <v/>
          </cell>
          <cell r="P8" t="str">
            <v/>
          </cell>
        </row>
        <row r="9">
          <cell r="H9" t="str">
            <v/>
          </cell>
          <cell r="J9" t="str">
            <v/>
          </cell>
          <cell r="L9" t="str">
            <v/>
          </cell>
          <cell r="N9" t="str">
            <v/>
          </cell>
          <cell r="P9" t="str">
            <v/>
          </cell>
        </row>
        <row r="10">
          <cell r="H10" t="str">
            <v/>
          </cell>
          <cell r="J10" t="str">
            <v/>
          </cell>
          <cell r="L10" t="str">
            <v/>
          </cell>
          <cell r="N10" t="str">
            <v/>
          </cell>
          <cell r="P10" t="str">
            <v/>
          </cell>
        </row>
        <row r="11">
          <cell r="H11" t="str">
            <v/>
          </cell>
          <cell r="J11" t="str">
            <v/>
          </cell>
          <cell r="L11" t="str">
            <v/>
          </cell>
          <cell r="N11" t="str">
            <v/>
          </cell>
          <cell r="P11" t="str">
            <v>✈️ 퇴실준비 및 복귀</v>
          </cell>
        </row>
        <row r="12">
          <cell r="H12" t="str">
            <v/>
          </cell>
          <cell r="J12" t="str">
            <v/>
          </cell>
          <cell r="L12" t="str">
            <v>💻 부서별 개선사항 발표</v>
          </cell>
          <cell r="N12" t="str">
            <v/>
          </cell>
          <cell r="P12" t="str">
            <v/>
          </cell>
        </row>
        <row r="13">
          <cell r="H13" t="str">
            <v>✔️ 자유시간</v>
          </cell>
          <cell r="J13" t="str">
            <v/>
          </cell>
          <cell r="L13" t="str">
            <v/>
          </cell>
          <cell r="N13" t="str">
            <v/>
          </cell>
          <cell r="P13" t="str">
            <v/>
          </cell>
        </row>
        <row r="14">
          <cell r="H14" t="str">
            <v/>
          </cell>
          <cell r="J14" t="str">
            <v/>
          </cell>
          <cell r="L14" t="str">
            <v/>
          </cell>
          <cell r="N14" t="str">
            <v/>
          </cell>
          <cell r="P14" t="str">
            <v/>
          </cell>
        </row>
        <row r="15">
          <cell r="H15" t="str">
            <v/>
          </cell>
          <cell r="J15" t="str">
            <v/>
          </cell>
          <cell r="L15" t="str">
            <v/>
          </cell>
          <cell r="N15" t="str">
            <v/>
          </cell>
          <cell r="P15" t="str">
            <v/>
          </cell>
        </row>
        <row r="16">
          <cell r="H16" t="str">
            <v/>
          </cell>
          <cell r="J16" t="str">
            <v>🎤 신입사원 자기소개</v>
          </cell>
          <cell r="L16" t="str">
            <v/>
          </cell>
          <cell r="N16" t="str">
            <v/>
          </cell>
          <cell r="P16" t="str">
            <v/>
          </cell>
        </row>
        <row r="17">
          <cell r="H17" t="str">
            <v/>
          </cell>
          <cell r="J17" t="str">
            <v/>
          </cell>
          <cell r="L17" t="str">
            <v/>
          </cell>
          <cell r="N17" t="str">
            <v/>
          </cell>
          <cell r="P1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7D26-1146-4B95-B4BF-E71B878B9A78}">
  <sheetPr>
    <pageSetUpPr autoPageBreaks="0"/>
  </sheetPr>
  <dimension ref="B1:AK37"/>
  <sheetViews>
    <sheetView tabSelected="1" topLeftCell="A2" zoomScale="50" zoomScaleNormal="65" workbookViewId="0">
      <selection activeCell="C16" sqref="C16"/>
    </sheetView>
  </sheetViews>
  <sheetFormatPr baseColWidth="10" defaultColWidth="8.6640625" defaultRowHeight="19.25" customHeight="1" outlineLevelCol="1"/>
  <cols>
    <col min="1" max="1" width="2.6640625" style="1" customWidth="1"/>
    <col min="2" max="2" width="5.33203125" style="1" customWidth="1"/>
    <col min="3" max="3" width="30.6640625" style="1" bestFit="1" customWidth="1"/>
    <col min="4" max="4" width="13" style="1" bestFit="1" customWidth="1"/>
    <col min="5" max="5" width="23" style="1" customWidth="1" outlineLevel="1"/>
    <col min="6" max="6" width="27" style="1" customWidth="1" outlineLevel="1"/>
    <col min="7" max="7" width="13.5" style="4" customWidth="1"/>
    <col min="8" max="8" width="13.5" style="2" customWidth="1"/>
    <col min="9" max="10" width="13.5" style="2" customWidth="1" outlineLevel="1"/>
    <col min="11" max="11" width="13.5" style="3" customWidth="1"/>
    <col min="12" max="12" width="13.83203125" style="3" hidden="1" customWidth="1" outlineLevel="1"/>
    <col min="13" max="13" width="11.5" style="3" hidden="1" customWidth="1" outlineLevel="1"/>
    <col min="14" max="14" width="3.6640625" style="1" customWidth="1" collapsed="1"/>
    <col min="15" max="15" width="32.83203125" style="1" hidden="1" customWidth="1" outlineLevel="1"/>
    <col min="16" max="16" width="3.6640625" style="1" customWidth="1" collapsed="1"/>
    <col min="17" max="17" width="13.5" style="2" customWidth="1"/>
    <col min="18" max="18" width="15.6640625" style="2" bestFit="1" customWidth="1"/>
    <col min="19" max="20" width="13.5" style="2" hidden="1" customWidth="1" outlineLevel="1"/>
    <col min="21" max="21" width="9.33203125" style="2" hidden="1" customWidth="1" outlineLevel="1"/>
    <col min="22" max="22" width="3.6640625" style="1" customWidth="1" collapsed="1"/>
    <col min="23" max="23" width="3.6640625" style="1" customWidth="1"/>
    <col min="24" max="27" width="14.1640625" style="2" hidden="1" customWidth="1" outlineLevel="1"/>
    <col min="28" max="28" width="10.83203125" style="2" hidden="1" customWidth="1" outlineLevel="1"/>
    <col min="29" max="29" width="19.6640625" style="1" customWidth="1" collapsed="1"/>
    <col min="30" max="16384" width="8.6640625" style="1"/>
  </cols>
  <sheetData>
    <row r="1" spans="2:28" s="23" customFormat="1" ht="22.25" customHeight="1">
      <c r="G1" s="29">
        <v>45870</v>
      </c>
      <c r="H1" s="27"/>
      <c r="I1" s="27"/>
      <c r="J1" s="27"/>
      <c r="K1" s="28"/>
      <c r="L1" s="28"/>
      <c r="M1" s="28"/>
      <c r="Q1" s="27"/>
      <c r="R1" s="27"/>
      <c r="S1" s="27"/>
      <c r="T1" s="27"/>
      <c r="U1" s="27"/>
      <c r="X1" s="27"/>
      <c r="Y1" s="27"/>
      <c r="Z1" s="27"/>
      <c r="AA1" s="27"/>
      <c r="AB1" s="27"/>
    </row>
    <row r="2" spans="2:28" ht="27" customHeight="1">
      <c r="B2" s="26" t="s">
        <v>26</v>
      </c>
      <c r="C2" s="26"/>
      <c r="D2" s="26"/>
      <c r="E2" s="26"/>
      <c r="F2" s="26"/>
      <c r="G2" s="25" t="s">
        <v>1</v>
      </c>
      <c r="H2" s="25"/>
      <c r="I2" s="25"/>
      <c r="J2" s="25"/>
      <c r="K2" s="25"/>
      <c r="L2" s="25"/>
      <c r="M2" s="25"/>
      <c r="O2" s="24" t="s">
        <v>25</v>
      </c>
      <c r="Q2" s="24" t="s">
        <v>0</v>
      </c>
      <c r="R2" s="24"/>
      <c r="S2" s="24"/>
      <c r="T2" s="24"/>
      <c r="U2" s="24"/>
      <c r="V2" s="23"/>
      <c r="X2" s="22" t="s">
        <v>24</v>
      </c>
      <c r="Y2" s="22"/>
      <c r="Z2" s="22"/>
      <c r="AA2" s="22"/>
      <c r="AB2" s="22"/>
    </row>
    <row r="3" spans="2:28" s="15" customFormat="1" ht="27" customHeight="1" thickBot="1">
      <c r="B3" s="21" t="s">
        <v>23</v>
      </c>
      <c r="C3" s="20" t="s">
        <v>22</v>
      </c>
      <c r="D3" s="20" t="s">
        <v>21</v>
      </c>
      <c r="E3" s="20" t="s">
        <v>20</v>
      </c>
      <c r="F3" s="20" t="s">
        <v>19</v>
      </c>
      <c r="G3" s="19" t="s">
        <v>12</v>
      </c>
      <c r="H3" s="18" t="s">
        <v>18</v>
      </c>
      <c r="I3" s="18" t="s">
        <v>17</v>
      </c>
      <c r="J3" s="18" t="s">
        <v>16</v>
      </c>
      <c r="K3" s="17" t="s">
        <v>2</v>
      </c>
      <c r="L3" s="17" t="s">
        <v>15</v>
      </c>
      <c r="M3" s="17" t="s">
        <v>14</v>
      </c>
      <c r="O3" s="16" t="s">
        <v>13</v>
      </c>
      <c r="Q3" s="16" t="s">
        <v>12</v>
      </c>
      <c r="R3" s="16" t="s">
        <v>11</v>
      </c>
      <c r="S3" s="16" t="s">
        <v>10</v>
      </c>
      <c r="T3" s="16" t="s">
        <v>9</v>
      </c>
      <c r="U3" s="16" t="s">
        <v>8</v>
      </c>
      <c r="X3" s="16" t="s">
        <v>7</v>
      </c>
      <c r="Y3" s="16" t="s">
        <v>6</v>
      </c>
      <c r="Z3" s="16" t="s">
        <v>5</v>
      </c>
      <c r="AA3" s="16" t="s">
        <v>4</v>
      </c>
      <c r="AB3" s="16" t="s">
        <v>3</v>
      </c>
    </row>
    <row r="4" spans="2:28" ht="29.5" customHeight="1">
      <c r="B4" s="2">
        <v>1</v>
      </c>
      <c r="C4" s="11" t="s">
        <v>43</v>
      </c>
      <c r="D4" s="11" t="s">
        <v>29</v>
      </c>
      <c r="E4" s="11" t="s">
        <v>32</v>
      </c>
      <c r="F4" s="11"/>
      <c r="G4" s="12">
        <v>45901</v>
      </c>
      <c r="H4" s="11">
        <v>5</v>
      </c>
      <c r="I4" s="10">
        <f>H4</f>
        <v>5</v>
      </c>
      <c r="J4" s="9">
        <f>G4+I4</f>
        <v>45906</v>
      </c>
      <c r="K4" s="3">
        <v>1</v>
      </c>
      <c r="L4" s="14">
        <f t="shared" ref="L4:L17" si="0">K4*I4</f>
        <v>5</v>
      </c>
      <c r="M4" s="14">
        <v>1</v>
      </c>
      <c r="O4" s="13" t="str">
        <f>IF(C4="","", E4&amp;" ["&amp;D4&amp;"]")</f>
        <v>데이터셋 리스트 [김제희]</v>
      </c>
      <c r="Q4" s="12">
        <f>G1-35</f>
        <v>45835</v>
      </c>
      <c r="R4" s="11">
        <v>20</v>
      </c>
      <c r="S4" s="10">
        <f t="shared" ref="S4:S18" si="1">T4-Q4</f>
        <v>28</v>
      </c>
      <c r="T4" s="9">
        <f t="shared" ref="T4:T18" si="2">WORKDAY.INTL(Q4,R4,1)</f>
        <v>45863</v>
      </c>
      <c r="U4" s="7">
        <f t="shared" ref="U4:U13" si="3">U5+1</f>
        <v>13.1</v>
      </c>
      <c r="X4" s="7">
        <f t="shared" ref="X4:X13" si="4">X5+1</f>
        <v>13.5</v>
      </c>
      <c r="Y4" s="8" t="e">
        <f>VLOOKUP(F4,$C$4:$J$18,8,0)</f>
        <v>#N/A</v>
      </c>
      <c r="Z4" s="7" t="e">
        <f>VLOOKUP(F4,$C$4:$X$18,24,0)</f>
        <v>#N/A</v>
      </c>
      <c r="AA4" s="7" t="e">
        <f t="shared" ref="AA4:AA18" si="5">Z4-X4</f>
        <v>#N/A</v>
      </c>
      <c r="AB4" s="7" t="e">
        <f t="shared" ref="AB4:AB17" si="6">IF(Y4&gt;=G4,0,G4-Y4)</f>
        <v>#N/A</v>
      </c>
    </row>
    <row r="5" spans="2:28" ht="29.5" customHeight="1">
      <c r="B5" s="2">
        <f>B4+1</f>
        <v>2</v>
      </c>
      <c r="C5" s="11" t="s">
        <v>27</v>
      </c>
      <c r="D5" s="11" t="s">
        <v>29</v>
      </c>
      <c r="E5" s="11" t="s">
        <v>33</v>
      </c>
      <c r="F5" s="11"/>
      <c r="G5" s="12">
        <v>45906</v>
      </c>
      <c r="H5" s="11">
        <v>7</v>
      </c>
      <c r="I5" s="10">
        <f>H5</f>
        <v>7</v>
      </c>
      <c r="J5" s="9">
        <f>G5+I5</f>
        <v>45913</v>
      </c>
      <c r="K5" s="3">
        <v>1</v>
      </c>
      <c r="L5" s="14">
        <f t="shared" si="0"/>
        <v>7</v>
      </c>
      <c r="M5" s="14">
        <v>1</v>
      </c>
      <c r="O5" s="13" t="str">
        <f t="shared" ref="O5:O17" si="7">IF(C5="","", E5&amp;" ["&amp;D5&amp;"]")</f>
        <v>압축 수준별 데이터셋 [김제희]</v>
      </c>
      <c r="Q5" s="12">
        <f>Q4+S4+3</f>
        <v>45866</v>
      </c>
      <c r="R5" s="11">
        <v>10</v>
      </c>
      <c r="S5" s="10">
        <f t="shared" si="1"/>
        <v>14</v>
      </c>
      <c r="T5" s="9">
        <f t="shared" si="2"/>
        <v>45880</v>
      </c>
      <c r="U5" s="7">
        <f>U6+1</f>
        <v>12.1</v>
      </c>
      <c r="X5" s="7">
        <f>X6+1</f>
        <v>12.5</v>
      </c>
      <c r="Y5" s="8" t="e">
        <f>VLOOKUP(F5,$C$4:$J$18,8,0)</f>
        <v>#N/A</v>
      </c>
      <c r="Z5" s="7" t="e">
        <f>VLOOKUP(F5,$C$4:$X$18,24,0)</f>
        <v>#N/A</v>
      </c>
      <c r="AA5" s="7" t="e">
        <f t="shared" si="5"/>
        <v>#N/A</v>
      </c>
      <c r="AB5" s="7" t="e">
        <f t="shared" si="6"/>
        <v>#N/A</v>
      </c>
    </row>
    <row r="6" spans="2:28" ht="29.5" customHeight="1">
      <c r="B6" s="2">
        <f t="shared" ref="B6:B17" si="8">B5+1</f>
        <v>3</v>
      </c>
      <c r="C6" s="11" t="s">
        <v>44</v>
      </c>
      <c r="D6" s="11" t="s">
        <v>41</v>
      </c>
      <c r="E6" s="11" t="s">
        <v>45</v>
      </c>
      <c r="F6" s="11"/>
      <c r="G6" s="12">
        <v>45906</v>
      </c>
      <c r="H6" s="11">
        <v>3</v>
      </c>
      <c r="I6" s="10">
        <f t="shared" ref="I6:I17" si="9">H6</f>
        <v>3</v>
      </c>
      <c r="J6" s="9">
        <f t="shared" ref="J6:J17" si="10">G6+I6</f>
        <v>45909</v>
      </c>
      <c r="K6" s="3">
        <v>1</v>
      </c>
      <c r="L6" s="14">
        <f t="shared" si="0"/>
        <v>3</v>
      </c>
      <c r="M6" s="14">
        <v>1</v>
      </c>
      <c r="O6" s="13" t="str">
        <f t="shared" si="7"/>
        <v>환경 세팅 [배채은, 이윤호]</v>
      </c>
      <c r="Q6" s="12">
        <f>Q4+S4+4</f>
        <v>45867</v>
      </c>
      <c r="R6" s="11">
        <v>20</v>
      </c>
      <c r="S6" s="10">
        <f t="shared" si="1"/>
        <v>28</v>
      </c>
      <c r="T6" s="9">
        <f t="shared" si="2"/>
        <v>45895</v>
      </c>
      <c r="U6" s="7">
        <f>U8+1</f>
        <v>11.1</v>
      </c>
      <c r="X6" s="7">
        <f>X8+1</f>
        <v>11.5</v>
      </c>
      <c r="Y6" s="8" t="e">
        <f>VLOOKUP(F6,$C$4:$J$18,8,0)</f>
        <v>#N/A</v>
      </c>
      <c r="Z6" s="7" t="e">
        <f>VLOOKUP(F6,$C$4:$X$18,24,0)</f>
        <v>#N/A</v>
      </c>
      <c r="AA6" s="7" t="e">
        <f t="shared" si="5"/>
        <v>#N/A</v>
      </c>
      <c r="AB6" s="7" t="e">
        <f t="shared" si="6"/>
        <v>#N/A</v>
      </c>
    </row>
    <row r="7" spans="2:28" ht="29.5" customHeight="1">
      <c r="B7" s="2">
        <f t="shared" si="8"/>
        <v>4</v>
      </c>
      <c r="C7" s="11" t="s">
        <v>58</v>
      </c>
      <c r="D7" s="11" t="s">
        <v>60</v>
      </c>
      <c r="E7" s="11" t="s">
        <v>53</v>
      </c>
      <c r="F7" s="11"/>
      <c r="G7" s="12">
        <v>45913</v>
      </c>
      <c r="H7" s="11">
        <v>10</v>
      </c>
      <c r="I7" s="10">
        <f>H7</f>
        <v>10</v>
      </c>
      <c r="J7" s="9">
        <f>G7+I7</f>
        <v>45923</v>
      </c>
      <c r="K7" s="3">
        <v>1</v>
      </c>
      <c r="L7" s="14">
        <f t="shared" si="0"/>
        <v>10</v>
      </c>
      <c r="M7" s="14">
        <v>1</v>
      </c>
      <c r="O7" s="13" t="str">
        <f>IF(C7="","", E7&amp;" ["&amp;D7&amp;"]")</f>
        <v>실험 결과 [배채은]</v>
      </c>
      <c r="Q7" s="12">
        <v>45868</v>
      </c>
      <c r="R7" s="11">
        <v>10</v>
      </c>
      <c r="S7" s="10"/>
      <c r="T7" s="9"/>
      <c r="U7" s="7">
        <f>U9+1</f>
        <v>10.1</v>
      </c>
      <c r="X7" s="7"/>
      <c r="Y7" s="8"/>
      <c r="Z7" s="7"/>
      <c r="AA7" s="7"/>
      <c r="AB7" s="7">
        <f>IF(Y7&gt;=G7,0,G7-Y7)</f>
        <v>45913</v>
      </c>
    </row>
    <row r="8" spans="2:28" ht="29.5" customHeight="1">
      <c r="B8" s="2">
        <f t="shared" si="8"/>
        <v>5</v>
      </c>
      <c r="C8" s="11" t="s">
        <v>59</v>
      </c>
      <c r="D8" s="11" t="s">
        <v>29</v>
      </c>
      <c r="E8" s="11" t="s">
        <v>35</v>
      </c>
      <c r="F8" s="11"/>
      <c r="G8" s="12">
        <v>45913</v>
      </c>
      <c r="H8" s="11">
        <v>10</v>
      </c>
      <c r="I8" s="10">
        <f>H8</f>
        <v>10</v>
      </c>
      <c r="J8" s="9">
        <f>G8+I8</f>
        <v>45923</v>
      </c>
      <c r="K8" s="3">
        <v>1</v>
      </c>
      <c r="L8" s="14">
        <f>K8*I8</f>
        <v>10</v>
      </c>
      <c r="M8" s="14">
        <v>1</v>
      </c>
      <c r="O8" s="13" t="str">
        <f>IF(C8="","", E8&amp;" ["&amp;D8&amp;"]")</f>
        <v>실험 결과 [김제희]</v>
      </c>
      <c r="Q8" s="12">
        <f>T6+5</f>
        <v>45900</v>
      </c>
      <c r="R8" s="11">
        <v>10</v>
      </c>
      <c r="S8" s="10">
        <f t="shared" si="1"/>
        <v>12</v>
      </c>
      <c r="T8" s="9">
        <f t="shared" si="2"/>
        <v>45912</v>
      </c>
      <c r="U8" s="7">
        <f t="shared" si="3"/>
        <v>10.1</v>
      </c>
      <c r="X8" s="7">
        <f t="shared" si="4"/>
        <v>10.5</v>
      </c>
      <c r="Y8" s="8" t="e">
        <f>VLOOKUP(F8,$C$4:$J$18,8,0)</f>
        <v>#N/A</v>
      </c>
      <c r="Z8" s="7" t="e">
        <f>VLOOKUP(F8,$C$4:$X$18,24,0)</f>
        <v>#N/A</v>
      </c>
      <c r="AA8" s="7" t="e">
        <f t="shared" si="5"/>
        <v>#N/A</v>
      </c>
      <c r="AB8" s="7" t="e">
        <f>IF(Y8&gt;=G8,0,G8-Y8)</f>
        <v>#N/A</v>
      </c>
    </row>
    <row r="9" spans="2:28" ht="29.5" customHeight="1">
      <c r="B9" s="2">
        <f t="shared" si="8"/>
        <v>6</v>
      </c>
      <c r="C9" s="11" t="s">
        <v>46</v>
      </c>
      <c r="D9" s="11" t="s">
        <v>30</v>
      </c>
      <c r="E9" s="11" t="s">
        <v>36</v>
      </c>
      <c r="F9" s="11"/>
      <c r="G9" s="12">
        <v>45913</v>
      </c>
      <c r="H9" s="11">
        <v>15</v>
      </c>
      <c r="I9" s="10">
        <f>H9</f>
        <v>15</v>
      </c>
      <c r="J9" s="9">
        <f>G9+I9</f>
        <v>45928</v>
      </c>
      <c r="K9" s="3">
        <v>0.6</v>
      </c>
      <c r="L9" s="14">
        <f t="shared" si="0"/>
        <v>9</v>
      </c>
      <c r="M9" s="14">
        <v>1</v>
      </c>
      <c r="O9" s="13" t="str">
        <f>IF(C9="","", E9&amp;" ["&amp;D9&amp;"]")</f>
        <v>실험결과 통합본 [이윤호]</v>
      </c>
      <c r="Q9" s="12">
        <f>T6+5</f>
        <v>45900</v>
      </c>
      <c r="R9" s="11">
        <v>15</v>
      </c>
      <c r="S9" s="10">
        <f t="shared" si="1"/>
        <v>19</v>
      </c>
      <c r="T9" s="9">
        <f t="shared" si="2"/>
        <v>45919</v>
      </c>
      <c r="U9" s="7">
        <f t="shared" si="3"/>
        <v>9.1</v>
      </c>
      <c r="X9" s="7">
        <f t="shared" si="4"/>
        <v>9.5</v>
      </c>
      <c r="Y9" s="8" t="e">
        <f>VLOOKUP(F9,$C$4:$J$18,8,0)</f>
        <v>#N/A</v>
      </c>
      <c r="Z9" s="7" t="e">
        <f>VLOOKUP(F9,$C$4:$X$18,24,0)</f>
        <v>#N/A</v>
      </c>
      <c r="AA9" s="7" t="e">
        <f t="shared" si="5"/>
        <v>#N/A</v>
      </c>
      <c r="AB9" s="7" t="e">
        <f>IF(Y9&gt;=G9,0,G9-Y9)</f>
        <v>#N/A</v>
      </c>
    </row>
    <row r="10" spans="2:28" ht="29.5" customHeight="1">
      <c r="B10" s="2">
        <f t="shared" si="8"/>
        <v>7</v>
      </c>
      <c r="C10" s="11" t="s">
        <v>28</v>
      </c>
      <c r="D10" s="11" t="s">
        <v>31</v>
      </c>
      <c r="E10" s="11" t="s">
        <v>37</v>
      </c>
      <c r="F10" s="11"/>
      <c r="G10" s="12">
        <v>45920</v>
      </c>
      <c r="H10" s="11">
        <v>22</v>
      </c>
      <c r="I10" s="10">
        <f>H10</f>
        <v>22</v>
      </c>
      <c r="J10" s="9">
        <f>G10+I10</f>
        <v>45942</v>
      </c>
      <c r="K10" s="3">
        <v>0.1</v>
      </c>
      <c r="L10" s="14">
        <f t="shared" si="0"/>
        <v>2.2000000000000002</v>
      </c>
      <c r="M10" s="14">
        <v>1</v>
      </c>
      <c r="O10" s="13" t="str">
        <f>IF(C10="","", E10&amp;" ["&amp;D10&amp;"]")</f>
        <v>논문 초안 [김제희, 배채은]</v>
      </c>
      <c r="Q10" s="12">
        <f>T9+3</f>
        <v>45922</v>
      </c>
      <c r="R10" s="11">
        <v>20</v>
      </c>
      <c r="S10" s="10">
        <f t="shared" si="1"/>
        <v>28</v>
      </c>
      <c r="T10" s="9">
        <f t="shared" si="2"/>
        <v>45950</v>
      </c>
      <c r="U10" s="7">
        <f t="shared" si="3"/>
        <v>8.1</v>
      </c>
      <c r="X10" s="7">
        <f t="shared" si="4"/>
        <v>8.5</v>
      </c>
      <c r="Y10" s="8" t="e">
        <f>VLOOKUP(F10,$C$4:$J$18,8,0)</f>
        <v>#N/A</v>
      </c>
      <c r="Z10" s="7" t="e">
        <f>VLOOKUP(F10,$C$4:$X$18,24,0)</f>
        <v>#N/A</v>
      </c>
      <c r="AA10" s="7" t="e">
        <f t="shared" si="5"/>
        <v>#N/A</v>
      </c>
      <c r="AB10" s="7" t="e">
        <f>IF(Y10&gt;=G10,0,G10-Y10)</f>
        <v>#N/A</v>
      </c>
    </row>
    <row r="11" spans="2:28" ht="29" customHeight="1">
      <c r="B11" s="2">
        <f t="shared" si="8"/>
        <v>8</v>
      </c>
      <c r="C11" s="11" t="s">
        <v>61</v>
      </c>
      <c r="D11" s="11" t="s">
        <v>56</v>
      </c>
      <c r="E11" s="11" t="s">
        <v>57</v>
      </c>
      <c r="F11" s="11"/>
      <c r="G11" s="12">
        <v>45942</v>
      </c>
      <c r="H11" s="11">
        <v>8</v>
      </c>
      <c r="I11" s="10">
        <f>H11</f>
        <v>8</v>
      </c>
      <c r="J11" s="9">
        <f>G11+I11</f>
        <v>45950</v>
      </c>
      <c r="K11" s="3">
        <v>0</v>
      </c>
      <c r="L11" s="14">
        <f t="shared" si="0"/>
        <v>0</v>
      </c>
      <c r="M11" s="14">
        <v>1</v>
      </c>
      <c r="O11" s="13" t="str">
        <f>IF(C11="","", E11&amp;" ["&amp;D11&amp;"]")</f>
        <v>10.20. 논문 제출 예정 [Milestone]</v>
      </c>
      <c r="Q11" s="12">
        <f>Q10+S10+3</f>
        <v>45953</v>
      </c>
      <c r="R11" s="11">
        <v>10</v>
      </c>
      <c r="S11" s="10">
        <f t="shared" si="1"/>
        <v>14</v>
      </c>
      <c r="T11" s="9">
        <f t="shared" si="2"/>
        <v>45967</v>
      </c>
      <c r="U11" s="7">
        <f t="shared" si="3"/>
        <v>7.1</v>
      </c>
      <c r="X11" s="7">
        <f t="shared" si="4"/>
        <v>7.5</v>
      </c>
      <c r="Y11" s="8" t="e">
        <f>VLOOKUP(F11,$C$4:$J$18,8,0)</f>
        <v>#N/A</v>
      </c>
      <c r="Z11" s="7" t="e">
        <f>VLOOKUP(F11,$C$4:$X$18,24,0)</f>
        <v>#N/A</v>
      </c>
      <c r="AA11" s="7" t="e">
        <f t="shared" si="5"/>
        <v>#N/A</v>
      </c>
      <c r="AB11" s="7" t="e">
        <f>IF(Y11&gt;=G11,0,G11-Y11)</f>
        <v>#N/A</v>
      </c>
    </row>
    <row r="12" spans="2:28" ht="29" customHeight="1">
      <c r="B12" s="2">
        <f t="shared" si="8"/>
        <v>9</v>
      </c>
      <c r="C12" s="11" t="s">
        <v>47</v>
      </c>
      <c r="D12" s="11" t="s">
        <v>34</v>
      </c>
      <c r="E12" s="11" t="s">
        <v>55</v>
      </c>
      <c r="F12" s="11"/>
      <c r="G12" s="12">
        <v>45920</v>
      </c>
      <c r="H12" s="11">
        <v>50</v>
      </c>
      <c r="I12" s="10">
        <f t="shared" si="9"/>
        <v>50</v>
      </c>
      <c r="J12" s="9">
        <f t="shared" si="10"/>
        <v>45970</v>
      </c>
      <c r="K12" s="3">
        <v>0.05</v>
      </c>
      <c r="L12" s="14">
        <f t="shared" si="0"/>
        <v>2.5</v>
      </c>
      <c r="M12" s="14">
        <v>1</v>
      </c>
      <c r="O12" s="13" t="str">
        <f t="shared" si="7"/>
        <v>중간 발표 자료 [학부생]</v>
      </c>
      <c r="Q12" s="12">
        <f>T11+4</f>
        <v>45971</v>
      </c>
      <c r="R12" s="11">
        <v>15</v>
      </c>
      <c r="S12" s="10">
        <f t="shared" si="1"/>
        <v>21</v>
      </c>
      <c r="T12" s="9">
        <f t="shared" si="2"/>
        <v>45992</v>
      </c>
      <c r="U12" s="7">
        <f t="shared" si="3"/>
        <v>6.1</v>
      </c>
      <c r="X12" s="7">
        <f t="shared" si="4"/>
        <v>6.5</v>
      </c>
      <c r="Y12" s="8" t="e">
        <f>VLOOKUP(#REF!,$C$4:$J$18,8,0)</f>
        <v>#REF!</v>
      </c>
      <c r="Z12" s="7" t="e">
        <f>VLOOKUP(#REF!,$C$4:$X$18,24,0)</f>
        <v>#REF!</v>
      </c>
      <c r="AA12" s="7" t="e">
        <f t="shared" si="5"/>
        <v>#REF!</v>
      </c>
      <c r="AB12" s="7" t="e">
        <f t="shared" si="6"/>
        <v>#REF!</v>
      </c>
    </row>
    <row r="13" spans="2:28" ht="29.5" customHeight="1">
      <c r="B13" s="2">
        <f t="shared" si="8"/>
        <v>10</v>
      </c>
      <c r="C13" s="11" t="s">
        <v>50</v>
      </c>
      <c r="D13" s="11" t="s">
        <v>30</v>
      </c>
      <c r="E13" s="11" t="s">
        <v>51</v>
      </c>
      <c r="F13" s="11"/>
      <c r="G13" s="12">
        <v>45970</v>
      </c>
      <c r="H13" s="11">
        <v>7</v>
      </c>
      <c r="I13" s="10">
        <f t="shared" si="9"/>
        <v>7</v>
      </c>
      <c r="J13" s="9">
        <f t="shared" si="10"/>
        <v>45977</v>
      </c>
      <c r="K13" s="3">
        <v>0</v>
      </c>
      <c r="L13" s="14">
        <f t="shared" si="0"/>
        <v>0</v>
      </c>
      <c r="M13" s="14">
        <v>1</v>
      </c>
      <c r="O13" s="13" t="str">
        <f t="shared" si="7"/>
        <v>최종 발표 자료 [이윤호]</v>
      </c>
      <c r="Q13" s="12">
        <f>T12+4</f>
        <v>45996</v>
      </c>
      <c r="R13" s="11">
        <v>7</v>
      </c>
      <c r="S13" s="10">
        <f t="shared" si="1"/>
        <v>11</v>
      </c>
      <c r="T13" s="9">
        <f t="shared" si="2"/>
        <v>46007</v>
      </c>
      <c r="U13" s="7">
        <f t="shared" si="3"/>
        <v>5.0999999999999996</v>
      </c>
      <c r="X13" s="7">
        <f t="shared" si="4"/>
        <v>5.5</v>
      </c>
      <c r="Y13" s="8" t="e">
        <f>VLOOKUP(F12,$C$4:$J$18,8,0)</f>
        <v>#N/A</v>
      </c>
      <c r="Z13" s="7" t="e">
        <f>VLOOKUP(F12,$C$4:$X$18,24,0)</f>
        <v>#N/A</v>
      </c>
      <c r="AA13" s="7" t="e">
        <f t="shared" si="5"/>
        <v>#N/A</v>
      </c>
      <c r="AB13" s="7" t="e">
        <f t="shared" si="6"/>
        <v>#N/A</v>
      </c>
    </row>
    <row r="14" spans="2:28" ht="29.5" customHeight="1">
      <c r="B14" s="2">
        <f t="shared" si="8"/>
        <v>11</v>
      </c>
      <c r="C14" s="11" t="s">
        <v>62</v>
      </c>
      <c r="D14" s="11" t="s">
        <v>34</v>
      </c>
      <c r="E14" s="11" t="s">
        <v>42</v>
      </c>
      <c r="F14" s="11"/>
      <c r="G14" s="12">
        <v>45950</v>
      </c>
      <c r="H14" s="11">
        <v>30</v>
      </c>
      <c r="I14" s="10">
        <f t="shared" si="9"/>
        <v>30</v>
      </c>
      <c r="J14" s="9">
        <f t="shared" si="10"/>
        <v>45980</v>
      </c>
      <c r="K14" s="3">
        <v>0</v>
      </c>
      <c r="L14" s="14">
        <f t="shared" si="0"/>
        <v>0</v>
      </c>
      <c r="M14" s="14">
        <v>1</v>
      </c>
      <c r="O14" s="13" t="str">
        <f t="shared" si="7"/>
        <v>성능 향상 모델 [학부생]</v>
      </c>
      <c r="Q14" s="12">
        <v>46010</v>
      </c>
      <c r="R14" s="11">
        <v>7</v>
      </c>
      <c r="S14" s="10">
        <f t="shared" si="1"/>
        <v>11</v>
      </c>
      <c r="T14" s="9">
        <f t="shared" si="2"/>
        <v>46021</v>
      </c>
      <c r="U14" s="7">
        <f>U15+1</f>
        <v>4.0999999999999996</v>
      </c>
      <c r="X14" s="7">
        <f>X15+1</f>
        <v>4.5</v>
      </c>
      <c r="Y14" s="8" t="e">
        <f>VLOOKUP(F14,$C$4:$J$18,8,0)</f>
        <v>#N/A</v>
      </c>
      <c r="Z14" s="7" t="e">
        <f>VLOOKUP(F14,$C$4:$X$18,24,0)</f>
        <v>#N/A</v>
      </c>
      <c r="AA14" s="7" t="e">
        <f t="shared" si="5"/>
        <v>#N/A</v>
      </c>
      <c r="AB14" s="7" t="e">
        <f t="shared" si="6"/>
        <v>#N/A</v>
      </c>
    </row>
    <row r="15" spans="2:28" ht="29.5" customHeight="1">
      <c r="B15" s="2">
        <f t="shared" si="8"/>
        <v>12</v>
      </c>
      <c r="C15" s="11" t="s">
        <v>39</v>
      </c>
      <c r="D15" s="11" t="s">
        <v>48</v>
      </c>
      <c r="E15" s="11" t="s">
        <v>49</v>
      </c>
      <c r="G15" s="12">
        <v>45971</v>
      </c>
      <c r="H15" s="11">
        <v>20</v>
      </c>
      <c r="I15" s="10">
        <f t="shared" si="9"/>
        <v>20</v>
      </c>
      <c r="J15" s="9">
        <f t="shared" si="10"/>
        <v>45991</v>
      </c>
      <c r="K15" s="3">
        <v>0</v>
      </c>
      <c r="L15" s="14">
        <f>K15*I15</f>
        <v>0</v>
      </c>
      <c r="M15" s="14">
        <v>1</v>
      </c>
      <c r="O15" s="13" t="str">
        <f t="shared" si="7"/>
        <v>11월 학술대회 참가 [Milestone]</v>
      </c>
      <c r="Q15" s="12">
        <v>46011</v>
      </c>
      <c r="R15" s="11"/>
      <c r="S15" s="10">
        <f>T15-Q15</f>
        <v>0</v>
      </c>
      <c r="T15" s="9">
        <f>WORKDAY.INTL(Q15,R15,1)</f>
        <v>46011</v>
      </c>
      <c r="U15" s="7">
        <f>U16+1</f>
        <v>3.1</v>
      </c>
      <c r="X15" s="7">
        <f>X16+1</f>
        <v>3.5</v>
      </c>
      <c r="Y15" s="8" t="e">
        <f>VLOOKUP(F15,$C$4:$J$18,8,0)</f>
        <v>#N/A</v>
      </c>
      <c r="Z15" s="7" t="e">
        <f>VLOOKUP(F15,$C$4:$X$18,24,0)</f>
        <v>#N/A</v>
      </c>
      <c r="AA15" s="7" t="e">
        <f>Z15-X15</f>
        <v>#N/A</v>
      </c>
      <c r="AB15" s="7" t="e">
        <f t="shared" si="6"/>
        <v>#N/A</v>
      </c>
    </row>
    <row r="16" spans="2:28" ht="29" customHeight="1">
      <c r="B16" s="2">
        <f t="shared" si="8"/>
        <v>13</v>
      </c>
      <c r="C16" s="11" t="s">
        <v>63</v>
      </c>
      <c r="D16" s="11" t="s">
        <v>48</v>
      </c>
      <c r="E16" s="11" t="s">
        <v>40</v>
      </c>
      <c r="F16" s="11"/>
      <c r="G16" s="12">
        <v>45981</v>
      </c>
      <c r="H16" s="11">
        <v>10</v>
      </c>
      <c r="I16" s="10">
        <f t="shared" si="9"/>
        <v>10</v>
      </c>
      <c r="J16" s="9">
        <f t="shared" si="10"/>
        <v>45991</v>
      </c>
      <c r="K16" s="3">
        <v>0</v>
      </c>
      <c r="L16" s="14">
        <f>K16*I16</f>
        <v>0</v>
      </c>
      <c r="M16" s="14">
        <v>1</v>
      </c>
      <c r="O16" s="13" t="str">
        <f t="shared" si="7"/>
        <v>11월 소프트웨어 등록 [Milestone]</v>
      </c>
      <c r="Q16" s="12">
        <v>46012</v>
      </c>
      <c r="R16" s="11"/>
      <c r="S16" s="10">
        <f>T16-Q16</f>
        <v>0</v>
      </c>
      <c r="T16" s="9">
        <f>WORKDAY.INTL(Q16,R16,1)</f>
        <v>46012</v>
      </c>
      <c r="U16" s="7">
        <f>U17+1</f>
        <v>2.1</v>
      </c>
      <c r="X16" s="7">
        <f>X17+1</f>
        <v>2.5</v>
      </c>
      <c r="Y16" s="8" t="e">
        <f>VLOOKUP(F16,$C$4:$J$18,8,0)</f>
        <v>#N/A</v>
      </c>
      <c r="Z16" s="7" t="e">
        <f>VLOOKUP(F16,$C$4:$X$18,24,0)</f>
        <v>#N/A</v>
      </c>
      <c r="AA16" s="7" t="e">
        <f>Z16-X16</f>
        <v>#N/A</v>
      </c>
      <c r="AB16" s="7" t="e">
        <f t="shared" si="6"/>
        <v>#N/A</v>
      </c>
    </row>
    <row r="17" spans="2:37" ht="29.5" customHeight="1">
      <c r="B17" s="2">
        <f t="shared" si="8"/>
        <v>14</v>
      </c>
      <c r="C17" s="11" t="s">
        <v>52</v>
      </c>
      <c r="D17" s="11" t="s">
        <v>34</v>
      </c>
      <c r="E17" s="11" t="s">
        <v>38</v>
      </c>
      <c r="F17" s="11"/>
      <c r="G17" s="12">
        <v>45991</v>
      </c>
      <c r="H17" s="11">
        <v>15</v>
      </c>
      <c r="I17" s="10">
        <f t="shared" si="9"/>
        <v>15</v>
      </c>
      <c r="J17" s="9">
        <f t="shared" si="10"/>
        <v>46006</v>
      </c>
      <c r="K17" s="3">
        <v>0</v>
      </c>
      <c r="L17" s="14">
        <f t="shared" si="0"/>
        <v>0</v>
      </c>
      <c r="M17" s="14">
        <v>1</v>
      </c>
      <c r="O17" s="13" t="str">
        <f t="shared" si="7"/>
        <v>최종 보고서 [학부생]</v>
      </c>
      <c r="Q17" s="12">
        <v>46013</v>
      </c>
      <c r="R17" s="11"/>
      <c r="S17" s="10">
        <f t="shared" si="1"/>
        <v>0</v>
      </c>
      <c r="T17" s="9">
        <f t="shared" si="2"/>
        <v>46013</v>
      </c>
      <c r="U17" s="7">
        <f>U18+1</f>
        <v>1.1000000000000001</v>
      </c>
      <c r="X17" s="7">
        <f>X18+1</f>
        <v>1.5</v>
      </c>
      <c r="Y17" s="8" t="e">
        <f>VLOOKUP(F17,$C$4:$J$18,8,0)</f>
        <v>#N/A</v>
      </c>
      <c r="Z17" s="7" t="e">
        <f>VLOOKUP(F17,$C$4:$X$18,24,0)</f>
        <v>#N/A</v>
      </c>
      <c r="AA17" s="7" t="e">
        <f t="shared" si="5"/>
        <v>#N/A</v>
      </c>
      <c r="AB17" s="7" t="e">
        <f t="shared" si="6"/>
        <v>#N/A</v>
      </c>
    </row>
    <row r="18" spans="2:37" ht="29.5" customHeight="1">
      <c r="B18" s="2"/>
      <c r="C18" s="11"/>
      <c r="D18" s="11"/>
      <c r="E18" s="11"/>
      <c r="F18" s="11"/>
      <c r="G18" s="12"/>
      <c r="H18" s="11"/>
      <c r="I18" s="10">
        <f>H18</f>
        <v>0</v>
      </c>
      <c r="J18" s="9">
        <f>G18+I18</f>
        <v>0</v>
      </c>
      <c r="K18" s="3">
        <v>0</v>
      </c>
      <c r="L18" s="14">
        <f>K18*I18</f>
        <v>0</v>
      </c>
      <c r="M18" s="14">
        <v>1</v>
      </c>
      <c r="O18" s="13" t="str">
        <f>IF(C18="","", E18&amp;" ["&amp;D18&amp;"]")</f>
        <v/>
      </c>
      <c r="Q18" s="12">
        <v>46014</v>
      </c>
      <c r="R18" s="11"/>
      <c r="S18" s="10">
        <f t="shared" si="1"/>
        <v>0</v>
      </c>
      <c r="T18" s="9">
        <f t="shared" si="2"/>
        <v>46014</v>
      </c>
      <c r="U18" s="7">
        <v>0.1</v>
      </c>
      <c r="X18" s="7">
        <v>0.5</v>
      </c>
      <c r="Y18" s="8" t="e">
        <f>VLOOKUP(F18,$C$4:$J$18,8,0)</f>
        <v>#N/A</v>
      </c>
      <c r="Z18" s="7" t="e">
        <f>VLOOKUP(F18,$C$4:$X$18,24,0)</f>
        <v>#N/A</v>
      </c>
      <c r="AA18" s="7" t="e">
        <f t="shared" si="5"/>
        <v>#N/A</v>
      </c>
      <c r="AB18" s="7" t="e">
        <f>IF(Y18&gt;=G18,0,G18-Y18)</f>
        <v>#N/A</v>
      </c>
    </row>
    <row r="19" spans="2:37" ht="13.25" customHeight="1">
      <c r="Q19" s="12"/>
    </row>
    <row r="20" spans="2:37" ht="34.25" customHeight="1">
      <c r="O20" s="1" t="s">
        <v>54</v>
      </c>
      <c r="AI20" s="4"/>
      <c r="AJ20" s="2"/>
      <c r="AK20" s="2"/>
    </row>
    <row r="21" spans="2:37" ht="34.25" customHeight="1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  <c r="Y21" s="6"/>
      <c r="Z21" s="6"/>
      <c r="AC21" s="5"/>
      <c r="AD21" s="5"/>
      <c r="AE21" s="5"/>
      <c r="AF21" s="5"/>
      <c r="AG21" s="5"/>
      <c r="AH21" s="5"/>
      <c r="AI21" s="5"/>
      <c r="AJ21" s="5"/>
      <c r="AK21" s="5"/>
    </row>
    <row r="22" spans="2:37" ht="34.25" customHeight="1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6"/>
      <c r="Z22" s="6"/>
      <c r="AC22" s="5"/>
      <c r="AD22" s="5"/>
      <c r="AE22" s="5"/>
      <c r="AF22" s="5"/>
      <c r="AG22" s="5"/>
      <c r="AH22" s="5"/>
      <c r="AI22" s="5"/>
      <c r="AJ22" s="5"/>
      <c r="AK22" s="5"/>
    </row>
    <row r="23" spans="2:37" ht="34.2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6"/>
      <c r="Y23" s="6"/>
      <c r="Z23" s="6"/>
      <c r="AC23" s="5"/>
      <c r="AD23" s="5"/>
      <c r="AE23" s="5"/>
      <c r="AF23" s="5"/>
      <c r="AG23" s="5"/>
      <c r="AH23" s="5"/>
      <c r="AI23" s="5"/>
      <c r="AJ23" s="5"/>
      <c r="AK23" s="5"/>
    </row>
    <row r="24" spans="2:37" ht="34.25" customHeight="1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6"/>
      <c r="Z24" s="6"/>
      <c r="AC24" s="5"/>
      <c r="AD24" s="5"/>
      <c r="AE24" s="5"/>
      <c r="AF24" s="5"/>
      <c r="AG24" s="5"/>
      <c r="AH24" s="5"/>
      <c r="AI24" s="5"/>
      <c r="AJ24" s="5"/>
      <c r="AK24" s="5"/>
    </row>
    <row r="25" spans="2:37" ht="34.25" customHeight="1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6"/>
      <c r="Y25" s="6"/>
      <c r="Z25" s="6"/>
      <c r="AC25" s="5"/>
      <c r="AD25" s="5"/>
      <c r="AE25" s="5"/>
      <c r="AF25" s="5"/>
      <c r="AG25" s="5"/>
      <c r="AH25" s="5"/>
      <c r="AI25" s="5"/>
      <c r="AJ25" s="5"/>
      <c r="AK25" s="5"/>
    </row>
    <row r="26" spans="2:37" ht="34.25" customHeight="1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/>
      <c r="Y26" s="6"/>
      <c r="Z26" s="6"/>
      <c r="AC26" s="5"/>
      <c r="AD26" s="5"/>
      <c r="AE26" s="5"/>
      <c r="AF26" s="5"/>
      <c r="AG26" s="5"/>
      <c r="AH26" s="5"/>
      <c r="AI26" s="5"/>
      <c r="AJ26" s="5"/>
      <c r="AK26" s="5"/>
    </row>
    <row r="27" spans="2:37" ht="34.25" customHeight="1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6"/>
      <c r="Y27" s="6"/>
      <c r="Z27" s="6"/>
      <c r="AC27" s="5"/>
      <c r="AD27" s="5"/>
      <c r="AE27" s="5"/>
      <c r="AF27" s="5"/>
      <c r="AG27" s="5"/>
      <c r="AH27" s="5"/>
      <c r="AI27" s="5"/>
      <c r="AJ27" s="5"/>
      <c r="AK27" s="5"/>
    </row>
    <row r="28" spans="2:37" ht="34.25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6"/>
      <c r="Y28" s="6"/>
      <c r="Z28" s="6"/>
      <c r="AC28" s="5"/>
      <c r="AD28" s="5"/>
      <c r="AE28" s="5"/>
      <c r="AF28" s="5"/>
      <c r="AG28" s="5"/>
      <c r="AH28" s="5"/>
      <c r="AI28" s="5"/>
      <c r="AJ28" s="5"/>
      <c r="AK28" s="5"/>
    </row>
    <row r="29" spans="2:37" ht="34.25" customHeight="1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6"/>
      <c r="Y29" s="6"/>
      <c r="Z29" s="6"/>
      <c r="AC29" s="5"/>
      <c r="AD29" s="5"/>
      <c r="AE29" s="5"/>
      <c r="AF29" s="5"/>
      <c r="AG29" s="5"/>
      <c r="AH29" s="5"/>
      <c r="AI29" s="5"/>
      <c r="AJ29" s="5"/>
      <c r="AK29" s="5"/>
    </row>
    <row r="30" spans="2:37" ht="34.25" customHeight="1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6"/>
      <c r="Y30" s="6"/>
      <c r="Z30" s="6"/>
      <c r="AC30" s="5"/>
      <c r="AD30" s="5"/>
      <c r="AE30" s="5"/>
      <c r="AF30" s="5"/>
      <c r="AG30" s="5"/>
      <c r="AH30" s="5"/>
      <c r="AI30" s="5"/>
      <c r="AJ30" s="5"/>
      <c r="AK30" s="5"/>
    </row>
    <row r="31" spans="2:37" ht="34.25" customHeight="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6"/>
      <c r="Y31" s="6"/>
      <c r="Z31" s="6"/>
      <c r="AC31" s="5"/>
      <c r="AD31" s="5"/>
      <c r="AE31" s="5"/>
      <c r="AF31" s="5"/>
      <c r="AG31" s="5"/>
      <c r="AH31" s="5"/>
      <c r="AI31" s="5"/>
      <c r="AJ31" s="5"/>
      <c r="AK31" s="5"/>
    </row>
    <row r="32" spans="2:37" ht="34.25" customHeight="1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6"/>
      <c r="Y32" s="6"/>
      <c r="Z32" s="6"/>
      <c r="AC32" s="5"/>
      <c r="AD32" s="5"/>
      <c r="AE32" s="5"/>
      <c r="AF32" s="5"/>
      <c r="AG32" s="5"/>
      <c r="AH32" s="5"/>
      <c r="AI32" s="5"/>
      <c r="AJ32" s="5"/>
      <c r="AK32" s="5"/>
    </row>
    <row r="33" spans="2:37" ht="34.25" customHeigh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/>
      <c r="Y33" s="6"/>
      <c r="Z33" s="6"/>
      <c r="AC33" s="5"/>
      <c r="AD33" s="5"/>
      <c r="AE33" s="5"/>
      <c r="AF33" s="5"/>
      <c r="AG33" s="5"/>
      <c r="AH33" s="5"/>
      <c r="AI33" s="5"/>
      <c r="AJ33" s="5"/>
      <c r="AK33" s="5"/>
    </row>
    <row r="34" spans="2:37" ht="34.25" customHeight="1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6"/>
      <c r="Y34" s="6"/>
      <c r="Z34" s="6"/>
      <c r="AC34" s="5"/>
      <c r="AD34" s="5"/>
      <c r="AE34" s="5"/>
      <c r="AF34" s="5"/>
      <c r="AG34" s="5"/>
      <c r="AH34" s="5"/>
      <c r="AI34" s="5"/>
      <c r="AJ34" s="5"/>
      <c r="AK34" s="5"/>
    </row>
    <row r="35" spans="2:37" ht="24.5" customHeight="1"/>
    <row r="36" spans="2:37" ht="24.5" customHeight="1"/>
    <row r="37" spans="2:37" ht="24.5" customHeight="1"/>
  </sheetData>
  <phoneticPr fontId="2" type="noConversion"/>
  <dataValidations count="1">
    <dataValidation type="list" allowBlank="1" showInputMessage="1" showErrorMessage="1" sqref="F4 F6:F7 F10:F14 F16:F18" xr:uid="{EF40AA9E-3F40-4AE9-9CF1-0D33780FD1C1}">
      <formula1>$C$4:$C$18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3417</cp:lastModifiedBy>
  <cp:lastPrinted>2020-06-01T17:08:21Z</cp:lastPrinted>
  <dcterms:created xsi:type="dcterms:W3CDTF">2020-06-01T15:01:19Z</dcterms:created>
  <dcterms:modified xsi:type="dcterms:W3CDTF">2025-09-21T03:54:29Z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0b6fa8-0d36-45a6-9a6a-767d9ca20d0f_Enabled">
    <vt:lpwstr>true</vt:lpwstr>
  </property>
  <property fmtid="{D5CDD505-2E9C-101B-9397-08002B2CF9AE}" pid="3" name="MSIP_Label_890b6fa8-0d36-45a6-9a6a-767d9ca20d0f_SetDate">
    <vt:lpwstr>2025-04-14T11:39:50Z</vt:lpwstr>
  </property>
  <property fmtid="{D5CDD505-2E9C-101B-9397-08002B2CF9AE}" pid="4" name="MSIP_Label_890b6fa8-0d36-45a6-9a6a-767d9ca20d0f_Method">
    <vt:lpwstr>Standard</vt:lpwstr>
  </property>
  <property fmtid="{D5CDD505-2E9C-101B-9397-08002B2CF9AE}" pid="5" name="MSIP_Label_890b6fa8-0d36-45a6-9a6a-767d9ca20d0f_Name">
    <vt:lpwstr>defa4170-0d19-0005-0003-bc88714345d2</vt:lpwstr>
  </property>
  <property fmtid="{D5CDD505-2E9C-101B-9397-08002B2CF9AE}" pid="6" name="MSIP_Label_890b6fa8-0d36-45a6-9a6a-767d9ca20d0f_SiteId">
    <vt:lpwstr>fd266056-23ff-4060-b956-9e8544fe3081</vt:lpwstr>
  </property>
  <property fmtid="{D5CDD505-2E9C-101B-9397-08002B2CF9AE}" pid="7" name="MSIP_Label_890b6fa8-0d36-45a6-9a6a-767d9ca20d0f_ActionId">
    <vt:lpwstr>cae190d4-fb69-4890-944d-8937e43dc4d9</vt:lpwstr>
  </property>
  <property fmtid="{D5CDD505-2E9C-101B-9397-08002B2CF9AE}" pid="8" name="MSIP_Label_890b6fa8-0d36-45a6-9a6a-767d9ca20d0f_ContentBits">
    <vt:lpwstr>0</vt:lpwstr>
  </property>
  <property fmtid="{D5CDD505-2E9C-101B-9397-08002B2CF9AE}" pid="9" name="MSIP_Label_890b6fa8-0d36-45a6-9a6a-767d9ca20d0f_Tag">
    <vt:lpwstr>10, 3, 0, 1</vt:lpwstr>
  </property>
</Properties>
</file>